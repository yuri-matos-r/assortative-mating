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a832997e01b11/Área de Trabalho/LASEXIA/Trabalho Associamento pareativo/Análise/"/>
    </mc:Choice>
  </mc:AlternateContent>
  <xr:revisionPtr revIDLastSave="170" documentId="8_{CAACB6E7-A020-422B-A1EE-F9A48476BBB6}" xr6:coauthVersionLast="47" xr6:coauthVersionMax="47" xr10:uidLastSave="{F3977C93-7BEE-4C17-A044-1C0532677656}"/>
  <bookViews>
    <workbookView xWindow="-110" yWindow="-110" windowWidth="25820" windowHeight="13900" tabRatio="825" activeTab="5" xr2:uid="{F0710069-7921-436C-9089-1D460254E526}"/>
  </bookViews>
  <sheets>
    <sheet name="planilha crua" sheetId="1" r:id="rId1"/>
    <sheet name="Sem os errados" sheetId="3" r:id="rId2"/>
    <sheet name="Contagem de indivíduos" sheetId="12" r:id="rId3"/>
    <sheet name="Planilha1" sheetId="15" r:id="rId4"/>
    <sheet name="H1 com todo mundo" sheetId="7" r:id="rId5"/>
    <sheet name="teiah12cq" sheetId="13" r:id="rId6"/>
    <sheet name="teiah22q" sheetId="14" r:id="rId7"/>
  </sheets>
  <definedNames>
    <definedName name="_xlnm._FilterDatabase" localSheetId="4" hidden="1">'H1 com todo mundo'!$A$1:$I$82</definedName>
    <definedName name="_xlnm._FilterDatabase" localSheetId="5" hidden="1">teiah12cq!$A$1:$J$60</definedName>
  </definedNames>
  <calcPr calcId="191029"/>
  <pivotCaches>
    <pivotCache cacheId="0" r:id="rId8"/>
    <pivotCache cacheId="1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2" i="7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2" i="13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2" i="1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" i="1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2" i="14"/>
  <c r="B14" i="15"/>
</calcChain>
</file>

<file path=xl/sharedStrings.xml><?xml version="1.0" encoding="utf-8"?>
<sst xmlns="http://schemas.openxmlformats.org/spreadsheetml/2006/main" count="4187" uniqueCount="500">
  <si>
    <t>id</t>
  </si>
  <si>
    <t>data</t>
  </si>
  <si>
    <t>hora coleta</t>
  </si>
  <si>
    <t>hora freezer</t>
  </si>
  <si>
    <t>tempo de manipulacao</t>
  </si>
  <si>
    <t>sexo</t>
  </si>
  <si>
    <t>posicao</t>
  </si>
  <si>
    <t>trilha</t>
  </si>
  <si>
    <t>idteia</t>
  </si>
  <si>
    <t>situacao da teia</t>
  </si>
  <si>
    <t>agreg</t>
  </si>
  <si>
    <t>parasita</t>
  </si>
  <si>
    <t>establimento</t>
  </si>
  <si>
    <t>estagio da femea</t>
  </si>
  <si>
    <t>id foto</t>
  </si>
  <si>
    <t>comprimento corpo</t>
  </si>
  <si>
    <t>comprimento perna e</t>
  </si>
  <si>
    <t>comprimento perna d</t>
  </si>
  <si>
    <t>largura cefalotorax</t>
  </si>
  <si>
    <t>largura do abdomen</t>
  </si>
  <si>
    <t>observacoes</t>
  </si>
  <si>
    <t>obs2</t>
  </si>
  <si>
    <t>obs3</t>
  </si>
  <si>
    <t>f01</t>
  </si>
  <si>
    <t>17:30-18:50</t>
  </si>
  <si>
    <t>f</t>
  </si>
  <si>
    <t>na</t>
  </si>
  <si>
    <t>s</t>
  </si>
  <si>
    <t>madura</t>
  </si>
  <si>
    <t>5580-5581</t>
  </si>
  <si>
    <t>Pouco gelo, caixa de isopor quente</t>
  </si>
  <si>
    <t>m01</t>
  </si>
  <si>
    <t>m</t>
  </si>
  <si>
    <t>c</t>
  </si>
  <si>
    <t>Estava na lateral da teia, mas estava se alimentando</t>
  </si>
  <si>
    <t>f02</t>
  </si>
  <si>
    <t>5574-5575</t>
  </si>
  <si>
    <t>m02</t>
  </si>
  <si>
    <t>a</t>
  </si>
  <si>
    <t>5638-5639</t>
  </si>
  <si>
    <t>f03</t>
  </si>
  <si>
    <t>5570-5571</t>
  </si>
  <si>
    <t>f04</t>
  </si>
  <si>
    <t>5468-5511</t>
  </si>
  <si>
    <t>f05</t>
  </si>
  <si>
    <t>5568-5569</t>
  </si>
  <si>
    <t>f06</t>
  </si>
  <si>
    <t>5600-5601</t>
  </si>
  <si>
    <t>Perdeu a perna durante o manejo</t>
  </si>
  <si>
    <t>f07</t>
  </si>
  <si>
    <t>5611-5612</t>
  </si>
  <si>
    <t>f08</t>
  </si>
  <si>
    <t>5594-5595</t>
  </si>
  <si>
    <t>f09</t>
  </si>
  <si>
    <t>5481-5498</t>
  </si>
  <si>
    <t>Trocou de pote</t>
  </si>
  <si>
    <t>m03</t>
  </si>
  <si>
    <t>sem a perna esquerda</t>
  </si>
  <si>
    <t>m04</t>
  </si>
  <si>
    <t>me</t>
  </si>
  <si>
    <t>P</t>
  </si>
  <si>
    <t>conferir se m ou E (acho que é um ectoparasita)</t>
  </si>
  <si>
    <t>f10</t>
  </si>
  <si>
    <t>5602-5604</t>
  </si>
  <si>
    <t>m05</t>
  </si>
  <si>
    <t>sem perna direita</t>
  </si>
  <si>
    <t>f11</t>
  </si>
  <si>
    <t>5590-5591</t>
  </si>
  <si>
    <t>m06</t>
  </si>
  <si>
    <t>duas pernas dianteiras ausentes</t>
  </si>
  <si>
    <t>f12</t>
  </si>
  <si>
    <t>5598-5599</t>
  </si>
  <si>
    <t>se alimentou logo antes da captura</t>
  </si>
  <si>
    <t>m07</t>
  </si>
  <si>
    <t>f13</t>
  </si>
  <si>
    <t>5592-5593</t>
  </si>
  <si>
    <t>se alimentou logo antes da captura, já havia sido marcada com tinta para outro experimento</t>
  </si>
  <si>
    <t>f14</t>
  </si>
  <si>
    <t>5512-5513</t>
  </si>
  <si>
    <t>m08</t>
  </si>
  <si>
    <t>f15</t>
  </si>
  <si>
    <t>5518-5519</t>
  </si>
  <si>
    <t>Já havia sido marcada com tinta parra outro experimento</t>
  </si>
  <si>
    <t>f16</t>
  </si>
  <si>
    <t>5566-5567</t>
  </si>
  <si>
    <t>f17</t>
  </si>
  <si>
    <t>5514-5515</t>
  </si>
  <si>
    <t>f18</t>
  </si>
  <si>
    <t>5625-5626</t>
  </si>
  <si>
    <t>m09</t>
  </si>
  <si>
    <t>f19</t>
  </si>
  <si>
    <t>5623-5624</t>
  </si>
  <si>
    <t>m10</t>
  </si>
  <si>
    <t>f20</t>
  </si>
  <si>
    <t>5605-5606</t>
  </si>
  <si>
    <t>f21</t>
  </si>
  <si>
    <t>5613-5614</t>
  </si>
  <si>
    <t>f22</t>
  </si>
  <si>
    <t>5546-5547</t>
  </si>
  <si>
    <t>Asterisco: a posição pode ter trocado com a f23 durante a coleta</t>
  </si>
  <si>
    <t>f23</t>
  </si>
  <si>
    <t>5615-5616</t>
  </si>
  <si>
    <t>Asterisco: a posição pode ter trocado com a f22 durante a coleta</t>
  </si>
  <si>
    <t>f24</t>
  </si>
  <si>
    <t>5537-5538</t>
  </si>
  <si>
    <t>f25</t>
  </si>
  <si>
    <t>5617-5618</t>
  </si>
  <si>
    <t>f26</t>
  </si>
  <si>
    <t>5621-5622</t>
  </si>
  <si>
    <t>f27</t>
  </si>
  <si>
    <t>5480-5496</t>
  </si>
  <si>
    <t>f28</t>
  </si>
  <si>
    <t>5596-5597</t>
  </si>
  <si>
    <t>f29</t>
  </si>
  <si>
    <t>5607-5608</t>
  </si>
  <si>
    <t>m11</t>
  </si>
  <si>
    <t>18:00-19:05</t>
  </si>
  <si>
    <t>sede</t>
  </si>
  <si>
    <t>f30</t>
  </si>
  <si>
    <t>5564-5565</t>
  </si>
  <si>
    <t>f31,5</t>
  </si>
  <si>
    <t>5627-5628</t>
  </si>
  <si>
    <t>fêmea estava de maneira periférica na teia e quando se movimentou a outra fêmea apresentou comportamento agressivo</t>
  </si>
  <si>
    <t>f31</t>
  </si>
  <si>
    <t>5472-5507</t>
  </si>
  <si>
    <t>Apresentou comportamento agressivo quando outra fêmea passou pela teia</t>
  </si>
  <si>
    <t>f32</t>
  </si>
  <si>
    <t>5548-5549</t>
  </si>
  <si>
    <t>f33</t>
  </si>
  <si>
    <t>5582-5583</t>
  </si>
  <si>
    <t>f34</t>
  </si>
  <si>
    <t>5558-5559</t>
  </si>
  <si>
    <t>f35</t>
  </si>
  <si>
    <t>5485-5486</t>
  </si>
  <si>
    <t>f36</t>
  </si>
  <si>
    <t>5520-5521</t>
  </si>
  <si>
    <t>f37</t>
  </si>
  <si>
    <t>5619-5620</t>
  </si>
  <si>
    <t xml:space="preserve">Apresentava  uma mosca na cabeça que não quis sair </t>
  </si>
  <si>
    <t>m12</t>
  </si>
  <si>
    <t>foi coletado junto com a aranha 37 mas não havia sido identificada a sua posição antes da coleta</t>
  </si>
  <si>
    <t>ficou fora da geladeira</t>
  </si>
  <si>
    <t>f38</t>
  </si>
  <si>
    <t>5550-5551</t>
  </si>
  <si>
    <t>Possui uma mancha amarela na lateral do abdôme e alteração no padrão das manchas dorsais</t>
  </si>
  <si>
    <t>f39</t>
  </si>
  <si>
    <t>5588-5589</t>
  </si>
  <si>
    <t>f40</t>
  </si>
  <si>
    <t>5516-5517</t>
  </si>
  <si>
    <t>f41</t>
  </si>
  <si>
    <t>5560-5561</t>
  </si>
  <si>
    <t>f42</t>
  </si>
  <si>
    <t>5479-5497</t>
  </si>
  <si>
    <t>f43</t>
  </si>
  <si>
    <t>5609-5610</t>
  </si>
  <si>
    <t>f44</t>
  </si>
  <si>
    <t>5562-5563</t>
  </si>
  <si>
    <t>trocou de pote</t>
  </si>
  <si>
    <t>m13</t>
  </si>
  <si>
    <t>m14</t>
  </si>
  <si>
    <t>f45</t>
  </si>
  <si>
    <t>5556-5557</t>
  </si>
  <si>
    <t>m15</t>
  </si>
  <si>
    <t>f46</t>
  </si>
  <si>
    <t>5475-5487</t>
  </si>
  <si>
    <t>f47</t>
  </si>
  <si>
    <t>5579-5578</t>
  </si>
  <si>
    <t>f48</t>
  </si>
  <si>
    <t>5473-5509</t>
  </si>
  <si>
    <t>f49</t>
  </si>
  <si>
    <t>12:00-13:00</t>
  </si>
  <si>
    <t>5467-5508</t>
  </si>
  <si>
    <t>mesmo local de coleta da teia 1- perdeu a perna durante a foto</t>
  </si>
  <si>
    <t>f50</t>
  </si>
  <si>
    <t>5482-5501</t>
  </si>
  <si>
    <t>f51</t>
  </si>
  <si>
    <t>5470-5504</t>
  </si>
  <si>
    <t>Alimentou recentemente</t>
  </si>
  <si>
    <t>m16</t>
  </si>
  <si>
    <t>f52</t>
  </si>
  <si>
    <t>5483-5502</t>
  </si>
  <si>
    <t>m17</t>
  </si>
  <si>
    <t>f53</t>
  </si>
  <si>
    <t>5471-5488</t>
  </si>
  <si>
    <t>f54</t>
  </si>
  <si>
    <t>5544-5545</t>
  </si>
  <si>
    <t>m18</t>
  </si>
  <si>
    <t>f55</t>
  </si>
  <si>
    <t>5542-5543</t>
  </si>
  <si>
    <t>fêmea caiu na vegetação durante a coleta e foi encontrada no mesmo lugar após 1 h</t>
  </si>
  <si>
    <t>m19</t>
  </si>
  <si>
    <t>f56</t>
  </si>
  <si>
    <t>5586-5587</t>
  </si>
  <si>
    <t>m20</t>
  </si>
  <si>
    <t>f57</t>
  </si>
  <si>
    <t>0.1</t>
  </si>
  <si>
    <t>5539-5540</t>
  </si>
  <si>
    <t>Establimento foi identificado após a manipulação</t>
  </si>
  <si>
    <t>m21</t>
  </si>
  <si>
    <t>f58</t>
  </si>
  <si>
    <t>5533-5534</t>
  </si>
  <si>
    <t>m22</t>
  </si>
  <si>
    <t>f59</t>
  </si>
  <si>
    <t>fe</t>
  </si>
  <si>
    <t>fêmea não coletada</t>
  </si>
  <si>
    <t>m23</t>
  </si>
  <si>
    <t>5629-5630</t>
  </si>
  <si>
    <t>f60</t>
  </si>
  <si>
    <t>5476-5500</t>
  </si>
  <si>
    <t>f61</t>
  </si>
  <si>
    <t>12:00-12:12</t>
  </si>
  <si>
    <t>5529-5530</t>
  </si>
  <si>
    <t>m24</t>
  </si>
  <si>
    <t>f62</t>
  </si>
  <si>
    <t>5552-5553</t>
  </si>
  <si>
    <t>f63</t>
  </si>
  <si>
    <t>5535-5536</t>
  </si>
  <si>
    <t>f64</t>
  </si>
  <si>
    <t>5523-5524</t>
  </si>
  <si>
    <t>f65</t>
  </si>
  <si>
    <t>5554-5555</t>
  </si>
  <si>
    <t>f66</t>
  </si>
  <si>
    <t>16:30-16:50</t>
  </si>
  <si>
    <t>5527-5528</t>
  </si>
  <si>
    <t>f67</t>
  </si>
  <si>
    <t>5466-5499</t>
  </si>
  <si>
    <t>f68</t>
  </si>
  <si>
    <t>5474-5506</t>
  </si>
  <si>
    <t>f69</t>
  </si>
  <si>
    <t>5584-5585</t>
  </si>
  <si>
    <t>f70</t>
  </si>
  <si>
    <t>5477-5510</t>
  </si>
  <si>
    <t>f71</t>
  </si>
  <si>
    <t>5576-5577</t>
  </si>
  <si>
    <t>f72</t>
  </si>
  <si>
    <t>5465-5505</t>
  </si>
  <si>
    <t>Apresentou uma bolinha vermelha na cabeça</t>
  </si>
  <si>
    <t>f73</t>
  </si>
  <si>
    <t>5531-5532</t>
  </si>
  <si>
    <t>f74</t>
  </si>
  <si>
    <t>5469-5503</t>
  </si>
  <si>
    <t>f75</t>
  </si>
  <si>
    <t>5572-5573</t>
  </si>
  <si>
    <t>f76</t>
  </si>
  <si>
    <t>5525-5526</t>
  </si>
  <si>
    <t>m25</t>
  </si>
  <si>
    <t>m26</t>
  </si>
  <si>
    <t>p</t>
  </si>
  <si>
    <t>f77</t>
  </si>
  <si>
    <t>6512-65513</t>
  </si>
  <si>
    <t>f78</t>
  </si>
  <si>
    <t>6514-6515</t>
  </si>
  <si>
    <t>m27</t>
  </si>
  <si>
    <t>f79</t>
  </si>
  <si>
    <t>6516-6517</t>
  </si>
  <si>
    <t>m28</t>
  </si>
  <si>
    <t>m29</t>
  </si>
  <si>
    <t>2,29,</t>
  </si>
  <si>
    <t>f80</t>
  </si>
  <si>
    <t>6518-6519</t>
  </si>
  <si>
    <t>f81</t>
  </si>
  <si>
    <t>6520-6521-6522</t>
  </si>
  <si>
    <t>f82</t>
  </si>
  <si>
    <t>6523-6524</t>
  </si>
  <si>
    <t>f83</t>
  </si>
  <si>
    <t>6770-6771</t>
  </si>
  <si>
    <t>Foto nova</t>
  </si>
  <si>
    <t>m30</t>
  </si>
  <si>
    <t>6655-6656</t>
  </si>
  <si>
    <t>Perna esquerda quebrou</t>
  </si>
  <si>
    <t>f84</t>
  </si>
  <si>
    <t>6527-6766</t>
  </si>
  <si>
    <t>f85</t>
  </si>
  <si>
    <t>6529-6530</t>
  </si>
  <si>
    <t>m31</t>
  </si>
  <si>
    <t>m32</t>
  </si>
  <si>
    <t>f86</t>
  </si>
  <si>
    <t>6531-6533</t>
  </si>
  <si>
    <t>m33</t>
  </si>
  <si>
    <t>perdeu pedaço da perna ela tem de 2 a 3 mm</t>
  </si>
  <si>
    <t>m34</t>
  </si>
  <si>
    <t>m35</t>
  </si>
  <si>
    <t>6661-6662</t>
  </si>
  <si>
    <t>m36</t>
  </si>
  <si>
    <t>m37</t>
  </si>
  <si>
    <t>m38</t>
  </si>
  <si>
    <t>m39</t>
  </si>
  <si>
    <t>m40</t>
  </si>
  <si>
    <t>f87</t>
  </si>
  <si>
    <t>6534-6535</t>
  </si>
  <si>
    <t>f88</t>
  </si>
  <si>
    <t>6536-65337</t>
  </si>
  <si>
    <t>m41</t>
  </si>
  <si>
    <t>f89</t>
  </si>
  <si>
    <t>6538-6539</t>
  </si>
  <si>
    <t>f90</t>
  </si>
  <si>
    <t>6772-6773</t>
  </si>
  <si>
    <t>m42</t>
  </si>
  <si>
    <t>m43</t>
  </si>
  <si>
    <t>f91</t>
  </si>
  <si>
    <t>6543-6544</t>
  </si>
  <si>
    <t>m44</t>
  </si>
  <si>
    <t>f92</t>
  </si>
  <si>
    <t>6545-6546-6547</t>
  </si>
  <si>
    <t>f93</t>
  </si>
  <si>
    <t>6548-6549-6550</t>
  </si>
  <si>
    <t>Teia diferente das outras, aranha imatura? Não</t>
  </si>
  <si>
    <t>m45</t>
  </si>
  <si>
    <t>m46</t>
  </si>
  <si>
    <t>m47</t>
  </si>
  <si>
    <t>m48</t>
  </si>
  <si>
    <t>Incerto se central ou periférico</t>
  </si>
  <si>
    <t>f94</t>
  </si>
  <si>
    <t>6551-6552</t>
  </si>
  <si>
    <t>m49</t>
  </si>
  <si>
    <t>m50</t>
  </si>
  <si>
    <t>m51</t>
  </si>
  <si>
    <t>m52</t>
  </si>
  <si>
    <t>6775-6776</t>
  </si>
  <si>
    <t>m53</t>
  </si>
  <si>
    <t>Coletei na teia 92 mas sem ter visto ele antes, acho que esse era na verdade da teia 94</t>
  </si>
  <si>
    <t>m54</t>
  </si>
  <si>
    <t>Coletei na teia 92 mas sem ter visto ele antes</t>
  </si>
  <si>
    <t>m55</t>
  </si>
  <si>
    <t>m56</t>
  </si>
  <si>
    <t>f95</t>
  </si>
  <si>
    <t>6553-6554</t>
  </si>
  <si>
    <t>f96</t>
  </si>
  <si>
    <t>6555-6556</t>
  </si>
  <si>
    <t>f97</t>
  </si>
  <si>
    <t>6557-6558</t>
  </si>
  <si>
    <t>m57</t>
  </si>
  <si>
    <t>m58</t>
  </si>
  <si>
    <t>f98</t>
  </si>
  <si>
    <t>6559-6560</t>
  </si>
  <si>
    <t>f99</t>
  </si>
  <si>
    <t>6561-6562</t>
  </si>
  <si>
    <t>m59</t>
  </si>
  <si>
    <t>m60</t>
  </si>
  <si>
    <t>f100</t>
  </si>
  <si>
    <t>6563-6564</t>
  </si>
  <si>
    <t>m61</t>
  </si>
  <si>
    <t>f101</t>
  </si>
  <si>
    <t>6565-6566</t>
  </si>
  <si>
    <t>Teia estranha checar se madura. Madura</t>
  </si>
  <si>
    <t>m62</t>
  </si>
  <si>
    <t>f102</t>
  </si>
  <si>
    <t>6567-6568</t>
  </si>
  <si>
    <t>f103</t>
  </si>
  <si>
    <t>6569-6570</t>
  </si>
  <si>
    <t>m63</t>
  </si>
  <si>
    <t>f104</t>
  </si>
  <si>
    <t>6571-65722</t>
  </si>
  <si>
    <t>m64</t>
  </si>
  <si>
    <t>f105</t>
  </si>
  <si>
    <t>m65</t>
  </si>
  <si>
    <t>f106</t>
  </si>
  <si>
    <t>6574-6575</t>
  </si>
  <si>
    <t>m66</t>
  </si>
  <si>
    <t>f107</t>
  </si>
  <si>
    <t>6576-6577</t>
  </si>
  <si>
    <t>f108</t>
  </si>
  <si>
    <t>6578-6579</t>
  </si>
  <si>
    <t>f109</t>
  </si>
  <si>
    <t>6580-6581</t>
  </si>
  <si>
    <t>m67</t>
  </si>
  <si>
    <t>f110</t>
  </si>
  <si>
    <t>6582-6583</t>
  </si>
  <si>
    <t>Madura?-  Madura</t>
  </si>
  <si>
    <t>f111</t>
  </si>
  <si>
    <t>6584-6585</t>
  </si>
  <si>
    <t>madura?- Madura</t>
  </si>
  <si>
    <t>m68</t>
  </si>
  <si>
    <t>f112</t>
  </si>
  <si>
    <t>6586-6588</t>
  </si>
  <si>
    <t>Perdeu a perna na coleta</t>
  </si>
  <si>
    <t>f113</t>
  </si>
  <si>
    <t>6589--6590</t>
  </si>
  <si>
    <t>m69</t>
  </si>
  <si>
    <t>f114</t>
  </si>
  <si>
    <t>6591-6592</t>
  </si>
  <si>
    <t>m70</t>
  </si>
  <si>
    <t>f115</t>
  </si>
  <si>
    <t>6593-6594</t>
  </si>
  <si>
    <t>m71</t>
  </si>
  <si>
    <t>f116</t>
  </si>
  <si>
    <t>6595-6596</t>
  </si>
  <si>
    <t>m72</t>
  </si>
  <si>
    <t>Pode ter trocado de lugar</t>
  </si>
  <si>
    <t>m73</t>
  </si>
  <si>
    <t>f117</t>
  </si>
  <si>
    <t>6597-6598</t>
  </si>
  <si>
    <t>f118</t>
  </si>
  <si>
    <t>6599-6600</t>
  </si>
  <si>
    <t>f119</t>
  </si>
  <si>
    <t>6601-6602</t>
  </si>
  <si>
    <t>m74</t>
  </si>
  <si>
    <t>f120</t>
  </si>
  <si>
    <t>6603-6604</t>
  </si>
  <si>
    <t>m75</t>
  </si>
  <si>
    <t>f121</t>
  </si>
  <si>
    <t>6605-6606</t>
  </si>
  <si>
    <t>m76</t>
  </si>
  <si>
    <t>f122</t>
  </si>
  <si>
    <t>6607-6608</t>
  </si>
  <si>
    <t>m77</t>
  </si>
  <si>
    <t>m78</t>
  </si>
  <si>
    <t>f123</t>
  </si>
  <si>
    <t>6609-6610</t>
  </si>
  <si>
    <t>m79</t>
  </si>
  <si>
    <t>f124</t>
  </si>
  <si>
    <t>6611-6612</t>
  </si>
  <si>
    <t>m80</t>
  </si>
  <si>
    <t>f125</t>
  </si>
  <si>
    <t>m81</t>
  </si>
  <si>
    <t>m82</t>
  </si>
  <si>
    <t>f126</t>
  </si>
  <si>
    <t>6615-6616</t>
  </si>
  <si>
    <t>m83</t>
  </si>
  <si>
    <t>f217</t>
  </si>
  <si>
    <t>6617-6619</t>
  </si>
  <si>
    <t>m84</t>
  </si>
  <si>
    <t>f128</t>
  </si>
  <si>
    <t>6620-6621</t>
  </si>
  <si>
    <t>f129</t>
  </si>
  <si>
    <t>6622-6623</t>
  </si>
  <si>
    <t>m85</t>
  </si>
  <si>
    <t>f130</t>
  </si>
  <si>
    <t>6624-6625</t>
  </si>
  <si>
    <t>f131</t>
  </si>
  <si>
    <t>6626-6627</t>
  </si>
  <si>
    <t>m86</t>
  </si>
  <si>
    <t>f132</t>
  </si>
  <si>
    <t>Possui perna esquerda mas na foto não deu pra medir</t>
  </si>
  <si>
    <t>m87</t>
  </si>
  <si>
    <t>f133</t>
  </si>
  <si>
    <t>6629-6630</t>
  </si>
  <si>
    <t>m88</t>
  </si>
  <si>
    <t>f134</t>
  </si>
  <si>
    <t>6631-6632</t>
  </si>
  <si>
    <t>m89</t>
  </si>
  <si>
    <t>f135</t>
  </si>
  <si>
    <t>6633-6634</t>
  </si>
  <si>
    <t>m90</t>
  </si>
  <si>
    <t>f136</t>
  </si>
  <si>
    <t>6636-6637</t>
  </si>
  <si>
    <t>f137</t>
  </si>
  <si>
    <t>6638-6639</t>
  </si>
  <si>
    <t>f138</t>
  </si>
  <si>
    <t>6640-6641</t>
  </si>
  <si>
    <t>f139</t>
  </si>
  <si>
    <t>6642-6643</t>
  </si>
  <si>
    <t>f140</t>
  </si>
  <si>
    <t>6644-6645</t>
  </si>
  <si>
    <t>f141</t>
  </si>
  <si>
    <t>6646-6647</t>
  </si>
  <si>
    <t>m91</t>
  </si>
  <si>
    <t>f142</t>
  </si>
  <si>
    <t>6648-6649</t>
  </si>
  <si>
    <t>f143</t>
  </si>
  <si>
    <t>m92</t>
  </si>
  <si>
    <t>Rótulos de Linha</t>
  </si>
  <si>
    <t>Total Geral</t>
  </si>
  <si>
    <t>Contagem de id</t>
  </si>
  <si>
    <t>situacaoteia</t>
  </si>
  <si>
    <t>cefafem</t>
  </si>
  <si>
    <t>cefamac</t>
  </si>
  <si>
    <t>Rótulos de Coluna</t>
  </si>
  <si>
    <t>coleta</t>
  </si>
  <si>
    <t>CRUA</t>
  </si>
  <si>
    <t>SEM OS ERRADOS</t>
  </si>
  <si>
    <t>acomp</t>
  </si>
  <si>
    <t>nacomp</t>
  </si>
  <si>
    <t>n</t>
  </si>
  <si>
    <t>cefalotorax</t>
  </si>
  <si>
    <t>1 Total</t>
  </si>
  <si>
    <t>2 Total</t>
  </si>
  <si>
    <t>Fêmeas</t>
  </si>
  <si>
    <t>Machos</t>
  </si>
  <si>
    <t>Agregadas</t>
  </si>
  <si>
    <t>Solitárias</t>
  </si>
  <si>
    <t>Total</t>
  </si>
  <si>
    <t>Coleta 2024</t>
  </si>
  <si>
    <t>Coleta 2025</t>
  </si>
  <si>
    <t>Agregação</t>
  </si>
  <si>
    <t>Teias</t>
  </si>
  <si>
    <t>Macho</t>
  </si>
  <si>
    <t>Central</t>
  </si>
  <si>
    <t xml:space="preserve">Coleta 2024 </t>
  </si>
  <si>
    <t>Periférico</t>
  </si>
  <si>
    <t xml:space="preserve">Central </t>
  </si>
  <si>
    <t>Máx. de agreg</t>
  </si>
  <si>
    <t>c Total</t>
  </si>
  <si>
    <t>P Total</t>
  </si>
  <si>
    <t>Solitária</t>
  </si>
  <si>
    <t>Agregada</t>
  </si>
  <si>
    <t xml:space="preserve"> </t>
  </si>
  <si>
    <t>nacomp2</t>
  </si>
  <si>
    <t>Teia sem central</t>
  </si>
  <si>
    <t>quinz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</si>
</sst>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0"/>
    <numFmt numFmtId="165" formatCode="[$-416]d\-mmm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16" fontId="0" fillId="0" borderId="1" xfId="0" applyNumberFormat="1" applyBorder="1"/>
    <xf numFmtId="0" fontId="0" fillId="0" borderId="1" xfId="1" applyNumberFormat="1" applyFont="1" applyBorder="1"/>
    <xf numFmtId="20" fontId="0" fillId="0" borderId="1" xfId="0" applyNumberFormat="1" applyBorder="1"/>
    <xf numFmtId="164" fontId="0" fillId="0" borderId="1" xfId="0" applyNumberFormat="1" applyBorder="1"/>
    <xf numFmtId="16" fontId="0" fillId="2" borderId="1" xfId="0" applyNumberFormat="1" applyFill="1" applyBorder="1"/>
    <xf numFmtId="0" fontId="0" fillId="2" borderId="1" xfId="1" applyNumberFormat="1" applyFont="1" applyFill="1" applyBorder="1"/>
    <xf numFmtId="20" fontId="0" fillId="2" borderId="1" xfId="0" applyNumberFormat="1" applyFill="1" applyBorder="1"/>
    <xf numFmtId="16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3" xfId="0" applyFill="1" applyBorder="1"/>
    <xf numFmtId="0" fontId="0" fillId="2" borderId="0" xfId="0" applyFill="1"/>
    <xf numFmtId="165" fontId="0" fillId="2" borderId="1" xfId="0" applyNumberFormat="1" applyFill="1" applyBorder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3" borderId="4" xfId="0" applyFont="1" applyFill="1" applyBorder="1"/>
    <xf numFmtId="0" fontId="2" fillId="4" borderId="4" xfId="0" applyFont="1" applyFill="1" applyBorder="1"/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7" xfId="0" applyBorder="1"/>
    <xf numFmtId="0" fontId="2" fillId="0" borderId="19" xfId="0" applyFont="1" applyBorder="1"/>
    <xf numFmtId="0" fontId="2" fillId="0" borderId="20" xfId="0" applyFont="1" applyBorder="1"/>
    <xf numFmtId="0" fontId="2" fillId="0" borderId="13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11" xfId="0" applyFont="1" applyBorder="1"/>
    <xf numFmtId="0" fontId="2" fillId="0" borderId="5" xfId="0" applyFont="1" applyBorder="1"/>
    <xf numFmtId="0" fontId="2" fillId="0" borderId="14" xfId="0" applyFont="1" applyBorder="1"/>
    <xf numFmtId="0" fontId="0" fillId="4" borderId="0" xfId="0" applyFill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3" xfId="0" applyBorder="1"/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3" borderId="24" xfId="0" applyFont="1" applyFill="1" applyBorder="1"/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9" xfId="0" applyBorder="1"/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6244907407" createdVersion="8" refreshedVersion="8" minRefreshableVersion="3" recordCount="213" xr:uid="{4C419897-7D8D-4E67-81A7-6463C4DEDCA2}">
  <cacheSource type="worksheet">
    <worksheetSource ref="A1:P214" sheet="Sem os errados"/>
  </cacheSource>
  <cacheFields count="16">
    <cacheField name="id" numFmtId="0">
      <sharedItems/>
    </cacheField>
    <cacheField name="coleta" numFmtId="0">
      <sharedItems containsSemiMixedTypes="0" containsString="0" containsNumber="1" containsInteger="1" minValue="1" maxValue="2" count="2">
        <n v="1"/>
        <n v="2"/>
      </sharedItems>
    </cacheField>
    <cacheField name="sexo" numFmtId="0">
      <sharedItems count="2">
        <s v="f"/>
        <s v="m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7"/>
    </cacheField>
    <cacheField name="idteia" numFmtId="0">
      <sharedItems containsSemiMixedTypes="0" containsString="0" containsNumber="1" containsInteger="1" minValue="1" maxValue="136" count="1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4"/>
        <n v="95"/>
        <n v="96"/>
        <n v="97"/>
        <n v="98"/>
        <n v="99"/>
        <n v="100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</sharedItems>
    </cacheField>
    <cacheField name="situacao da teia" numFmtId="0">
      <sharedItems count="2">
        <s v="s"/>
        <s v="a"/>
      </sharedItems>
    </cacheField>
    <cacheField name="agreg" numFmtId="0">
      <sharedItems containsMixedTypes="1" containsNumber="1" containsInteger="1" minValue="1" maxValue="12" count="13">
        <s v="na"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omprimento corpo" numFmtId="0">
      <sharedItems containsSemiMixedTypes="0" containsString="0" containsNumber="1" minValue="0.433" maxValue="2.8279999999999998"/>
    </cacheField>
    <cacheField name="comprimento perna e" numFmtId="0">
      <sharedItems containsMixedTypes="1" containsNumber="1" minValue="1.3120000000000001" maxValue="6.0640000000000001"/>
    </cacheField>
    <cacheField name="comprimento perna d" numFmtId="0">
      <sharedItems containsMixedTypes="1" containsNumber="1" minValue="1.399" maxValue="6.0869999999999997"/>
    </cacheField>
    <cacheField name="largura cefalotorax" numFmtId="0">
      <sharedItems containsSemiMixedTypes="0" containsString="0" containsNumber="1" minValue="0.128" maxValue="0.65"/>
    </cacheField>
    <cacheField name="largura do abdomen" numFmtId="0">
      <sharedItems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7128819441" createdVersion="8" refreshedVersion="8" minRefreshableVersion="3" recordCount="236" xr:uid="{7528CBD6-00D7-4EE2-B694-1B5005D86F1F}">
  <cacheSource type="worksheet">
    <worksheetSource ref="A1:Y237" sheet="planilha crua"/>
  </cacheSource>
  <cacheFields count="24">
    <cacheField name="id" numFmtId="0">
      <sharedItems/>
    </cacheField>
    <cacheField name="data" numFmtId="0">
      <sharedItems containsSemiMixedTypes="0" containsNonDate="0" containsDate="1" containsString="0" minDate="2024-04-19T00:00:00" maxDate="2025-04-29T00:00:00"/>
    </cacheField>
    <cacheField name="coleta" numFmtId="0">
      <sharedItems containsSemiMixedTypes="0" containsString="0" containsNumber="1" containsInteger="1" minValue="1" maxValue="2"/>
    </cacheField>
    <cacheField name="hora coleta" numFmtId="0">
      <sharedItems containsNonDate="0" containsDate="1" containsString="0" containsBlank="1" minDate="1899-12-30T09:00:00" maxDate="1899-12-30T17:10:00"/>
    </cacheField>
    <cacheField name="hora freezer" numFmtId="0">
      <sharedItems containsBlank="1"/>
    </cacheField>
    <cacheField name="tempo de manipulacao" numFmtId="0">
      <sharedItems containsNonDate="0" containsString="0" containsBlank="1"/>
    </cacheField>
    <cacheField name="sexo" numFmtId="0">
      <sharedItems count="4">
        <s v="f"/>
        <s v="m"/>
        <s v="me"/>
        <s v="fe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10"/>
    </cacheField>
    <cacheField name="idteia" numFmtId="0">
      <sharedItems containsString="0" containsBlank="1" containsNumber="1" containsInteger="1" minValue="1" maxValue="143"/>
    </cacheField>
    <cacheField name="situacao da teia" numFmtId="0">
      <sharedItems/>
    </cacheField>
    <cacheField name="agreg" numFmtId="0">
      <sharedItems containsMixedTypes="1" containsNumber="1" containsInteger="1" minValue="1" maxValue="13"/>
    </cacheField>
    <cacheField name="parasita" numFmtId="0">
      <sharedItems containsString="0" containsBlank="1" containsNumber="1" containsInteger="1" minValue="0" maxValue="1"/>
    </cacheField>
    <cacheField name="establimento" numFmtId="0">
      <sharedItems containsBlank="1" containsMixedTypes="1" containsNumber="1" containsInteger="1" minValue="0" maxValue="7"/>
    </cacheField>
    <cacheField name="estagio da femea" numFmtId="0">
      <sharedItems containsBlank="1"/>
    </cacheField>
    <cacheField name="id foto" numFmtId="0">
      <sharedItems containsBlank="1" containsMixedTypes="1" containsNumber="1" containsInteger="1" minValue="5631" maxValue="6777"/>
    </cacheField>
    <cacheField name="comprimento corpo" numFmtId="0">
      <sharedItems containsBlank="1" containsMixedTypes="1" containsNumber="1" minValue="0.433" maxValue="2.8279999999999998"/>
    </cacheField>
    <cacheField name="comprimento perna e" numFmtId="0">
      <sharedItems containsBlank="1" containsMixedTypes="1" containsNumber="1" minValue="1.3120000000000001" maxValue="6.0640000000000001"/>
    </cacheField>
    <cacheField name="comprimento perna d" numFmtId="0">
      <sharedItems containsBlank="1" containsMixedTypes="1" containsNumber="1" minValue="1.399" maxValue="6.0869999999999997"/>
    </cacheField>
    <cacheField name="largura cefalotorax" numFmtId="0">
      <sharedItems containsBlank="1" containsMixedTypes="1" containsNumber="1" minValue="0.128" maxValue="0.65"/>
    </cacheField>
    <cacheField name="largura do abdomen" numFmtId="0">
      <sharedItems containsBlank="1"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f01"/>
    <x v="0"/>
    <x v="0"/>
    <x v="0"/>
    <n v="1"/>
    <x v="0"/>
    <x v="0"/>
    <x v="0"/>
    <n v="2.6789999999999998"/>
    <n v="5.4489999999999998"/>
    <n v="5.5179999999999998"/>
    <n v="0.59299999999999997"/>
    <n v="0.78100000000000003"/>
    <m/>
    <s v="Pouco gelo, caixa de isopor quente"/>
    <m/>
  </r>
  <r>
    <s v="m01"/>
    <x v="0"/>
    <x v="1"/>
    <x v="1"/>
    <n v="1"/>
    <x v="0"/>
    <x v="0"/>
    <x v="0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x v="0"/>
    <x v="0"/>
    <x v="0"/>
    <n v="1"/>
    <x v="1"/>
    <x v="0"/>
    <x v="0"/>
    <n v="2.2909999999999999"/>
    <s v="na"/>
    <n v="5.65"/>
    <n v="0.60599999999999998"/>
    <n v="0.498"/>
    <m/>
    <s v="Pouco gelo, caixa de isopor quente"/>
    <m/>
  </r>
  <r>
    <s v="m02"/>
    <x v="0"/>
    <x v="1"/>
    <x v="1"/>
    <n v="1"/>
    <x v="2"/>
    <x v="1"/>
    <x v="1"/>
    <n v="0.59099999999999997"/>
    <n v="1.579"/>
    <n v="1.8240000000000001"/>
    <n v="0.17699999999999999"/>
    <n v="0.112"/>
    <m/>
    <s v="Pouco gelo, caixa de isopor quente"/>
    <m/>
  </r>
  <r>
    <s v="f03"/>
    <x v="0"/>
    <x v="0"/>
    <x v="0"/>
    <n v="1"/>
    <x v="2"/>
    <x v="1"/>
    <x v="1"/>
    <n v="1.992"/>
    <n v="5.0049999999999999"/>
    <n v="4.8440000000000003"/>
    <n v="0.49299999999999999"/>
    <n v="0.46600000000000003"/>
    <m/>
    <s v="Pouco gelo, caixa de isopor quente"/>
    <m/>
  </r>
  <r>
    <s v="f04"/>
    <x v="0"/>
    <x v="0"/>
    <x v="0"/>
    <n v="1"/>
    <x v="3"/>
    <x v="1"/>
    <x v="1"/>
    <n v="2.0779999999999998"/>
    <s v="na"/>
    <n v="4.665"/>
    <n v="0.51700000000000002"/>
    <n v="0.55000000000000004"/>
    <m/>
    <s v="Pouco gelo, caixa de isopor quente"/>
    <m/>
  </r>
  <r>
    <s v="f05"/>
    <x v="0"/>
    <x v="0"/>
    <x v="0"/>
    <n v="1"/>
    <x v="4"/>
    <x v="1"/>
    <x v="1"/>
    <n v="2.69"/>
    <n v="5.4349999999999996"/>
    <n v="5.3010000000000002"/>
    <n v="0.65"/>
    <n v="0.626"/>
    <m/>
    <s v="Pouco gelo, caixa de isopor quente"/>
    <m/>
  </r>
  <r>
    <s v="f06"/>
    <x v="0"/>
    <x v="0"/>
    <x v="0"/>
    <n v="1"/>
    <x v="5"/>
    <x v="1"/>
    <x v="1"/>
    <n v="2.0910000000000002"/>
    <n v="3.8889999999999998"/>
    <n v="3.883"/>
    <n v="0.44500000000000001"/>
    <n v="0.505"/>
    <s v="Perdeu a perna durante o manejo"/>
    <s v="Pouco gelo, caixa de isopor quente"/>
    <m/>
  </r>
  <r>
    <s v="f07"/>
    <x v="0"/>
    <x v="0"/>
    <x v="0"/>
    <n v="1"/>
    <x v="6"/>
    <x v="1"/>
    <x v="1"/>
    <n v="2.2930000000000001"/>
    <s v="na"/>
    <n v="5.4340000000000002"/>
    <n v="0.58899999999999997"/>
    <n v="0.496"/>
    <m/>
    <s v="Pouco gelo, caixa de isopor quente"/>
    <m/>
  </r>
  <r>
    <s v="f08"/>
    <x v="0"/>
    <x v="0"/>
    <x v="0"/>
    <n v="1"/>
    <x v="7"/>
    <x v="1"/>
    <x v="1"/>
    <n v="2.3580000000000001"/>
    <n v="6.01"/>
    <n v="5.8390000000000004"/>
    <n v="0.64100000000000001"/>
    <n v="0.51"/>
    <m/>
    <s v="Pouco gelo, caixa de isopor quente"/>
    <m/>
  </r>
  <r>
    <s v="f09"/>
    <x v="0"/>
    <x v="0"/>
    <x v="0"/>
    <n v="1"/>
    <x v="8"/>
    <x v="0"/>
    <x v="0"/>
    <n v="2.1059999999999999"/>
    <n v="4.8659999999999997"/>
    <n v="4.6760000000000002"/>
    <n v="0.495"/>
    <n v="0.57799999999999996"/>
    <m/>
    <s v="Pouco gelo, caixa de isopor quente"/>
    <s v="Trocou de pote"/>
  </r>
  <r>
    <s v="m03"/>
    <x v="0"/>
    <x v="1"/>
    <x v="1"/>
    <n v="1"/>
    <x v="9"/>
    <x v="0"/>
    <x v="0"/>
    <n v="0.55700000000000005"/>
    <s v="na"/>
    <n v="1.8979999999999999"/>
    <n v="0.186"/>
    <n v="0.109"/>
    <m/>
    <s v="Pouco gelo, caixa de isopor quente"/>
    <s v="sem a perna esquerda"/>
  </r>
  <r>
    <s v="f10"/>
    <x v="0"/>
    <x v="0"/>
    <x v="0"/>
    <n v="1"/>
    <x v="9"/>
    <x v="0"/>
    <x v="0"/>
    <n v="2.2690000000000001"/>
    <n v="4.9130000000000003"/>
    <n v="5.0620000000000003"/>
    <n v="0.54500000000000004"/>
    <n v="0.59099999999999997"/>
    <m/>
    <s v="Pouco gelo, caixa de isopor quente"/>
    <m/>
  </r>
  <r>
    <s v="m05"/>
    <x v="0"/>
    <x v="1"/>
    <x v="1"/>
    <n v="1"/>
    <x v="10"/>
    <x v="0"/>
    <x v="0"/>
    <n v="0.88800000000000001"/>
    <n v="3.101"/>
    <s v="na"/>
    <n v="0.23400000000000001"/>
    <n v="0.17"/>
    <m/>
    <s v="Pouco gelo, caixa de isopor quente"/>
    <s v="sem perna direita"/>
  </r>
  <r>
    <s v="f11"/>
    <x v="0"/>
    <x v="0"/>
    <x v="0"/>
    <n v="1"/>
    <x v="10"/>
    <x v="0"/>
    <x v="0"/>
    <n v="2.7069999999999999"/>
    <n v="5.234"/>
    <n v="4.9790000000000001"/>
    <n v="0.60699999999999998"/>
    <n v="0.73899999999999999"/>
    <m/>
    <s v="Pouco gelo, caixa de isopor quente"/>
    <m/>
  </r>
  <r>
    <s v="m06"/>
    <x v="0"/>
    <x v="1"/>
    <x v="2"/>
    <n v="1"/>
    <x v="11"/>
    <x v="0"/>
    <x v="0"/>
    <n v="0.59299999999999997"/>
    <s v="na"/>
    <s v="na"/>
    <n v="0.18099999999999999"/>
    <n v="0.109"/>
    <m/>
    <s v="Pouco gelo, caixa de isopor quente"/>
    <s v="duas pernas dianteiras ausentes"/>
  </r>
  <r>
    <s v="f12"/>
    <x v="0"/>
    <x v="0"/>
    <x v="0"/>
    <n v="1"/>
    <x v="11"/>
    <x v="0"/>
    <x v="0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x v="0"/>
    <x v="1"/>
    <x v="1"/>
    <n v="1"/>
    <x v="12"/>
    <x v="0"/>
    <x v="0"/>
    <n v="0.65900000000000003"/>
    <n v="2.403"/>
    <s v="na"/>
    <n v="0.19400000000000001"/>
    <n v="0.109"/>
    <m/>
    <s v="Pouco gelo, caixa de isopor quente"/>
    <s v="sem perna direita"/>
  </r>
  <r>
    <s v="f13"/>
    <x v="0"/>
    <x v="0"/>
    <x v="0"/>
    <n v="1"/>
    <x v="12"/>
    <x v="0"/>
    <x v="0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x v="0"/>
    <x v="0"/>
    <x v="0"/>
    <n v="2"/>
    <x v="13"/>
    <x v="0"/>
    <x v="0"/>
    <n v="2.4710000000000001"/>
    <s v="na"/>
    <n v="4.9219999999999997"/>
    <n v="0.52600000000000002"/>
    <n v="0.623"/>
    <m/>
    <s v="Pouco gelo, caixa de isopor quente"/>
    <s v="Trocou de pote"/>
  </r>
  <r>
    <s v="m08"/>
    <x v="0"/>
    <x v="1"/>
    <x v="1"/>
    <n v="2"/>
    <x v="13"/>
    <x v="0"/>
    <x v="0"/>
    <n v="0.628"/>
    <s v="na"/>
    <n v="2.0659999999999998"/>
    <n v="0.183"/>
    <n v="0.115"/>
    <m/>
    <s v="Pouco gelo, caixa de isopor quente"/>
    <m/>
  </r>
  <r>
    <s v="f15"/>
    <x v="0"/>
    <x v="0"/>
    <x v="0"/>
    <n v="2"/>
    <x v="14"/>
    <x v="0"/>
    <x v="0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x v="0"/>
    <x v="0"/>
    <x v="0"/>
    <n v="2"/>
    <x v="15"/>
    <x v="0"/>
    <x v="0"/>
    <n v="2.456"/>
    <n v="4.423"/>
    <n v="4.8259999999999996"/>
    <n v="0.53200000000000003"/>
    <n v="0.60399999999999998"/>
    <m/>
    <s v="Pouco gelo, caixa de isopor quente"/>
    <m/>
  </r>
  <r>
    <s v="f17"/>
    <x v="0"/>
    <x v="0"/>
    <x v="0"/>
    <n v="3"/>
    <x v="16"/>
    <x v="1"/>
    <x v="2"/>
    <n v="2.33"/>
    <n v="5.0510000000000002"/>
    <n v="5.0090000000000003"/>
    <n v="0.48399999999999999"/>
    <n v="0.53700000000000003"/>
    <m/>
    <s v="Pouco gelo, caixa de isopor quente"/>
    <s v="Trocou de pote"/>
  </r>
  <r>
    <s v="f18"/>
    <x v="0"/>
    <x v="0"/>
    <x v="0"/>
    <n v="3"/>
    <x v="17"/>
    <x v="1"/>
    <x v="2"/>
    <n v="1.9410000000000001"/>
    <n v="3.8220000000000001"/>
    <n v="3.79"/>
    <n v="0.38600000000000001"/>
    <n v="0.498"/>
    <m/>
    <s v="Pouco gelo, caixa de isopor quente"/>
    <m/>
  </r>
  <r>
    <s v="m09"/>
    <x v="0"/>
    <x v="1"/>
    <x v="1"/>
    <n v="3"/>
    <x v="18"/>
    <x v="1"/>
    <x v="2"/>
    <n v="0.89900000000000002"/>
    <s v="na"/>
    <n v="3.3969999999999998"/>
    <n v="0.26"/>
    <n v="0.17699999999999999"/>
    <m/>
    <s v="Pouco gelo, caixa de isopor quente"/>
    <s v="sem a perna esquerda"/>
  </r>
  <r>
    <s v="f19"/>
    <x v="0"/>
    <x v="0"/>
    <x v="0"/>
    <n v="3"/>
    <x v="18"/>
    <x v="1"/>
    <x v="2"/>
    <n v="2.7850000000000001"/>
    <n v="5.3390000000000004"/>
    <n v="5.38"/>
    <n v="0.55900000000000005"/>
    <n v="0.72899999999999998"/>
    <m/>
    <s v="Pouco gelo, caixa de isopor quente"/>
    <m/>
  </r>
  <r>
    <s v="m10"/>
    <x v="0"/>
    <x v="1"/>
    <x v="1"/>
    <n v="3"/>
    <x v="19"/>
    <x v="1"/>
    <x v="2"/>
    <n v="0.54100000000000004"/>
    <n v="1.9450000000000001"/>
    <s v="na"/>
    <n v="0.14499999999999999"/>
    <n v="0.106"/>
    <m/>
    <s v="Pouco gelo, caixa de isopor quente"/>
    <s v="sem perna direita"/>
  </r>
  <r>
    <s v="f20"/>
    <x v="0"/>
    <x v="0"/>
    <x v="0"/>
    <n v="3"/>
    <x v="19"/>
    <x v="1"/>
    <x v="2"/>
    <n v="2.4089999999999998"/>
    <n v="5.1470000000000002"/>
    <n v="5.282"/>
    <n v="0.57899999999999996"/>
    <n v="0.48799999999999999"/>
    <m/>
    <s v="Pouco gelo, caixa de isopor quente"/>
    <m/>
  </r>
  <r>
    <s v="f21"/>
    <x v="0"/>
    <x v="0"/>
    <x v="0"/>
    <n v="3"/>
    <x v="20"/>
    <x v="1"/>
    <x v="2"/>
    <n v="2.4359999999999999"/>
    <n v="4.6749999999999998"/>
    <n v="4.68"/>
    <n v="0.495"/>
    <n v="0.63900000000000001"/>
    <m/>
    <s v="Pouco gelo, caixa de isopor quente"/>
    <m/>
  </r>
  <r>
    <s v="f22"/>
    <x v="0"/>
    <x v="0"/>
    <x v="0"/>
    <n v="3"/>
    <x v="21"/>
    <x v="1"/>
    <x v="2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x v="0"/>
    <x v="0"/>
    <x v="0"/>
    <n v="3"/>
    <x v="22"/>
    <x v="1"/>
    <x v="2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x v="0"/>
    <x v="0"/>
    <x v="0"/>
    <n v="3"/>
    <x v="23"/>
    <x v="1"/>
    <x v="2"/>
    <n v="2.1789999999999998"/>
    <s v="na"/>
    <n v="4.6390000000000002"/>
    <n v="0.51300000000000001"/>
    <n v="0.42499999999999999"/>
    <m/>
    <s v="Pouco gelo, caixa de isopor quente"/>
    <m/>
  </r>
  <r>
    <s v="f25"/>
    <x v="0"/>
    <x v="0"/>
    <x v="0"/>
    <n v="3"/>
    <x v="24"/>
    <x v="1"/>
    <x v="2"/>
    <n v="2.6930000000000001"/>
    <n v="5.7969999999999997"/>
    <s v="na"/>
    <n v="0.58499999999999996"/>
    <n v="0.55100000000000005"/>
    <m/>
    <s v="Pouco gelo, caixa de isopor quente"/>
    <m/>
  </r>
  <r>
    <s v="f26"/>
    <x v="0"/>
    <x v="0"/>
    <x v="0"/>
    <n v="3"/>
    <x v="25"/>
    <x v="1"/>
    <x v="2"/>
    <n v="2.3929999999999998"/>
    <n v="4.7130000000000001"/>
    <n v="4.6500000000000004"/>
    <n v="0.47899999999999998"/>
    <n v="0.60899999999999999"/>
    <m/>
    <s v="Pouco gelo, caixa de isopor quente"/>
    <m/>
  </r>
  <r>
    <s v="f27"/>
    <x v="0"/>
    <x v="0"/>
    <x v="0"/>
    <n v="3"/>
    <x v="26"/>
    <x v="1"/>
    <x v="2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x v="0"/>
    <x v="0"/>
    <x v="0"/>
    <n v="3"/>
    <x v="27"/>
    <x v="1"/>
    <x v="2"/>
    <n v="2.218"/>
    <n v="4.0430000000000001"/>
    <n v="4.57"/>
    <n v="0.49199999999999999"/>
    <n v="0.55300000000000005"/>
    <m/>
    <s v="Pouco gelo, caixa de isopor quente"/>
    <m/>
  </r>
  <r>
    <s v="f29"/>
    <x v="0"/>
    <x v="0"/>
    <x v="0"/>
    <n v="3"/>
    <x v="28"/>
    <x v="1"/>
    <x v="2"/>
    <n v="2.2509999999999999"/>
    <n v="4.7190000000000003"/>
    <n v="4.7190000000000003"/>
    <n v="0.46400000000000002"/>
    <n v="0.56699999999999995"/>
    <m/>
    <s v="Pouco gelo, caixa de isopor quente"/>
    <m/>
  </r>
  <r>
    <s v="m11"/>
    <x v="0"/>
    <x v="1"/>
    <x v="1"/>
    <s v="sede"/>
    <x v="29"/>
    <x v="1"/>
    <x v="3"/>
    <n v="0.51100000000000001"/>
    <n v="1.613"/>
    <n v="1.7010000000000001"/>
    <n v="0.182"/>
    <n v="0.121"/>
    <m/>
    <m/>
    <m/>
  </r>
  <r>
    <s v="f30"/>
    <x v="0"/>
    <x v="0"/>
    <x v="0"/>
    <s v="sede"/>
    <x v="29"/>
    <x v="1"/>
    <x v="3"/>
    <n v="2.1240000000000001"/>
    <n v="5.1260000000000003"/>
    <n v="5.1980000000000004"/>
    <n v="0.54"/>
    <n v="0.47199999999999998"/>
    <m/>
    <m/>
    <m/>
  </r>
  <r>
    <s v="f31"/>
    <x v="0"/>
    <x v="0"/>
    <x v="0"/>
    <s v="sede"/>
    <x v="30"/>
    <x v="1"/>
    <x v="3"/>
    <n v="2.391"/>
    <n v="5.101"/>
    <n v="5.0190000000000001"/>
    <n v="0.52"/>
    <n v="0.54200000000000004"/>
    <s v="Apresentou comportamento agressivo quando outra fêmea passou pela teia"/>
    <m/>
    <m/>
  </r>
  <r>
    <s v="f32"/>
    <x v="0"/>
    <x v="0"/>
    <x v="0"/>
    <s v="sede"/>
    <x v="31"/>
    <x v="1"/>
    <x v="3"/>
    <n v="2.6659999999999999"/>
    <n v="4.2110000000000003"/>
    <n v="4.21"/>
    <n v="0.56899999999999995"/>
    <n v="0.55100000000000005"/>
    <m/>
    <m/>
    <s v="Trocou de pote"/>
  </r>
  <r>
    <s v="f33"/>
    <x v="0"/>
    <x v="0"/>
    <x v="0"/>
    <s v="sede"/>
    <x v="32"/>
    <x v="1"/>
    <x v="3"/>
    <n v="2.1960000000000002"/>
    <n v="4.5979999999999999"/>
    <n v="4.6369999999999996"/>
    <n v="0.48599999999999999"/>
    <n v="0.46400000000000002"/>
    <m/>
    <m/>
    <m/>
  </r>
  <r>
    <s v="f34"/>
    <x v="0"/>
    <x v="0"/>
    <x v="0"/>
    <s v="sede"/>
    <x v="33"/>
    <x v="1"/>
    <x v="3"/>
    <n v="1.782"/>
    <n v="3.8620000000000001"/>
    <n v="3.8479999999999999"/>
    <n v="0.42499999999999999"/>
    <n v="0.44400000000000001"/>
    <m/>
    <m/>
    <s v="Trocou de pote"/>
  </r>
  <r>
    <s v="f35"/>
    <x v="0"/>
    <x v="0"/>
    <x v="0"/>
    <s v="sede"/>
    <x v="34"/>
    <x v="1"/>
    <x v="3"/>
    <n v="2.6680000000000001"/>
    <n v="6.0640000000000001"/>
    <n v="6.0629999999999997"/>
    <n v="0.61699999999999999"/>
    <n v="0.48299999999999998"/>
    <m/>
    <m/>
    <s v="Trocou de pote"/>
  </r>
  <r>
    <s v="f36"/>
    <x v="0"/>
    <x v="0"/>
    <x v="0"/>
    <s v="sede"/>
    <x v="35"/>
    <x v="1"/>
    <x v="3"/>
    <n v="2.2040000000000002"/>
    <n v="4.9630000000000001"/>
    <n v="4.5540000000000003"/>
    <n v="0.55400000000000005"/>
    <n v="0.499"/>
    <m/>
    <m/>
    <s v="Trocou de pote"/>
  </r>
  <r>
    <s v="f37"/>
    <x v="0"/>
    <x v="0"/>
    <x v="0"/>
    <s v="sede"/>
    <x v="36"/>
    <x v="1"/>
    <x v="3"/>
    <n v="2.7719999999999998"/>
    <n v="5.7229999999999999"/>
    <n v="5.8890000000000002"/>
    <n v="0.59399999999999997"/>
    <n v="0.68400000000000005"/>
    <s v="Apresentava  uma mosca na cabeça que não quis sair "/>
    <m/>
    <m/>
  </r>
  <r>
    <s v="f38"/>
    <x v="0"/>
    <x v="0"/>
    <x v="0"/>
    <s v="sede"/>
    <x v="37"/>
    <x v="1"/>
    <x v="3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x v="0"/>
    <x v="0"/>
    <x v="0"/>
    <s v="sede"/>
    <x v="38"/>
    <x v="1"/>
    <x v="3"/>
    <n v="2.367"/>
    <n v="5.3390000000000004"/>
    <n v="5.3070000000000004"/>
    <n v="0.62"/>
    <n v="0.53100000000000003"/>
    <m/>
    <m/>
    <m/>
  </r>
  <r>
    <s v="f40"/>
    <x v="0"/>
    <x v="0"/>
    <x v="0"/>
    <s v="sede"/>
    <x v="39"/>
    <x v="1"/>
    <x v="3"/>
    <n v="2.3340000000000001"/>
    <n v="5.2560000000000002"/>
    <n v="5.0960000000000001"/>
    <n v="0.47599999999999998"/>
    <n v="0.44800000000000001"/>
    <m/>
    <m/>
    <s v="Trocou de pote"/>
  </r>
  <r>
    <s v="f41"/>
    <x v="0"/>
    <x v="0"/>
    <x v="0"/>
    <s v="sede"/>
    <x v="40"/>
    <x v="1"/>
    <x v="3"/>
    <n v="2.6349999999999998"/>
    <n v="5.8120000000000003"/>
    <n v="6.0869999999999997"/>
    <n v="0.55700000000000005"/>
    <n v="0.59599999999999997"/>
    <m/>
    <m/>
    <s v="Trocou de pote"/>
  </r>
  <r>
    <s v="f42"/>
    <x v="0"/>
    <x v="0"/>
    <x v="0"/>
    <s v="sede"/>
    <x v="41"/>
    <x v="1"/>
    <x v="3"/>
    <n v="2.5619999999999998"/>
    <n v="5.641"/>
    <n v="5.6849999999999996"/>
    <n v="0.63300000000000001"/>
    <n v="0.46"/>
    <m/>
    <m/>
    <s v="Trocou de pote"/>
  </r>
  <r>
    <s v="f43"/>
    <x v="0"/>
    <x v="0"/>
    <x v="0"/>
    <s v="sede"/>
    <x v="42"/>
    <x v="1"/>
    <x v="3"/>
    <n v="2.508"/>
    <n v="5.0670000000000002"/>
    <n v="5.1760000000000002"/>
    <n v="0.54500000000000004"/>
    <n v="0.61899999999999999"/>
    <m/>
    <m/>
    <m/>
  </r>
  <r>
    <s v="f44"/>
    <x v="0"/>
    <x v="0"/>
    <x v="0"/>
    <s v="sede"/>
    <x v="43"/>
    <x v="1"/>
    <x v="3"/>
    <n v="2.35"/>
    <n v="4.8029999999999999"/>
    <n v="4.8360000000000003"/>
    <n v="0.499"/>
    <n v="0.54400000000000004"/>
    <m/>
    <m/>
    <s v="Trocou de pote"/>
  </r>
  <r>
    <s v="m13"/>
    <x v="0"/>
    <x v="1"/>
    <x v="1"/>
    <s v="sede"/>
    <x v="44"/>
    <x v="1"/>
    <x v="4"/>
    <n v="0.65500000000000003"/>
    <n v="2.1739999999999999"/>
    <s v="na"/>
    <n v="0.17100000000000001"/>
    <n v="0.109"/>
    <m/>
    <m/>
    <s v="sem perna direita"/>
  </r>
  <r>
    <s v="m14"/>
    <x v="0"/>
    <x v="1"/>
    <x v="2"/>
    <s v="sede"/>
    <x v="44"/>
    <x v="1"/>
    <x v="4"/>
    <n v="0.44800000000000001"/>
    <n v="1.5109999999999999"/>
    <n v="1.5009999999999999"/>
    <n v="0.14399999999999999"/>
    <n v="0.10100000000000001"/>
    <m/>
    <m/>
    <m/>
  </r>
  <r>
    <s v="f45"/>
    <x v="0"/>
    <x v="0"/>
    <x v="0"/>
    <s v="sede"/>
    <x v="44"/>
    <x v="1"/>
    <x v="4"/>
    <n v="1.258"/>
    <n v="3.8069999999999999"/>
    <n v="3.7719999999999998"/>
    <n v="0.35"/>
    <n v="0.28499999999999998"/>
    <m/>
    <m/>
    <s v="Trocou de pote"/>
  </r>
  <r>
    <s v="m15"/>
    <x v="0"/>
    <x v="1"/>
    <x v="1"/>
    <s v="sede"/>
    <x v="45"/>
    <x v="1"/>
    <x v="4"/>
    <n v="0.48799999999999999"/>
    <s v="na"/>
    <n v="1.694"/>
    <n v="0.16700000000000001"/>
    <n v="0.124"/>
    <m/>
    <m/>
    <s v="sem a perna esquerda"/>
  </r>
  <r>
    <s v="f46"/>
    <x v="0"/>
    <x v="0"/>
    <x v="0"/>
    <s v="sede"/>
    <x v="45"/>
    <x v="1"/>
    <x v="4"/>
    <n v="2.0310000000000001"/>
    <n v="4.4749999999999996"/>
    <n v="4.6239999999999997"/>
    <n v="0.497"/>
    <n v="0.36499999999999999"/>
    <m/>
    <m/>
    <m/>
  </r>
  <r>
    <s v="f47"/>
    <x v="0"/>
    <x v="0"/>
    <x v="0"/>
    <s v="sede"/>
    <x v="46"/>
    <x v="1"/>
    <x v="4"/>
    <n v="2.3130000000000002"/>
    <n v="4.9610000000000003"/>
    <n v="4.8049999999999997"/>
    <n v="0.54900000000000004"/>
    <n v="0.441"/>
    <m/>
    <m/>
    <m/>
  </r>
  <r>
    <s v="f48"/>
    <x v="0"/>
    <x v="0"/>
    <x v="0"/>
    <s v="sede"/>
    <x v="47"/>
    <x v="1"/>
    <x v="4"/>
    <n v="2.2690000000000001"/>
    <n v="5.4690000000000003"/>
    <n v="5.5570000000000004"/>
    <n v="0.54300000000000004"/>
    <n v="0.438"/>
    <m/>
    <m/>
    <m/>
  </r>
  <r>
    <s v="f49"/>
    <x v="0"/>
    <x v="0"/>
    <x v="0"/>
    <n v="1"/>
    <x v="48"/>
    <x v="0"/>
    <x v="0"/>
    <n v="2.698"/>
    <n v="5.9859999999999998"/>
    <n v="5.8159999999999998"/>
    <n v="0.63"/>
    <n v="0.64"/>
    <s v="mesmo local de coleta da teia 1- perdeu a perna durante a foto"/>
    <m/>
    <m/>
  </r>
  <r>
    <s v="f50"/>
    <x v="0"/>
    <x v="0"/>
    <x v="0"/>
    <n v="1"/>
    <x v="49"/>
    <x v="0"/>
    <x v="0"/>
    <n v="1.9410000000000001"/>
    <n v="4.1319999999999997"/>
    <n v="4.2279999999999998"/>
    <n v="0.46899999999999997"/>
    <n v="0.51200000000000001"/>
    <m/>
    <m/>
    <m/>
  </r>
  <r>
    <s v="f51"/>
    <x v="0"/>
    <x v="0"/>
    <x v="0"/>
    <n v="4"/>
    <x v="50"/>
    <x v="0"/>
    <x v="0"/>
    <n v="2.2120000000000002"/>
    <n v="4.5819999999999999"/>
    <n v="4.5640000000000001"/>
    <n v="0.45300000000000001"/>
    <n v="0.54700000000000004"/>
    <s v="Alimentou recentemente"/>
    <m/>
    <m/>
  </r>
  <r>
    <s v="m16"/>
    <x v="0"/>
    <x v="1"/>
    <x v="1"/>
    <n v="4"/>
    <x v="50"/>
    <x v="0"/>
    <x v="0"/>
    <n v="0.67"/>
    <n v="2.78"/>
    <n v="2.7149999999999999"/>
    <n v="0.22"/>
    <n v="0.13600000000000001"/>
    <m/>
    <m/>
    <m/>
  </r>
  <r>
    <s v="f52"/>
    <x v="0"/>
    <x v="0"/>
    <x v="0"/>
    <n v="4"/>
    <x v="51"/>
    <x v="0"/>
    <x v="0"/>
    <n v="2.4849999999999999"/>
    <n v="5.72"/>
    <n v="5.6829999999999998"/>
    <n v="0.59899999999999998"/>
    <n v="0.56000000000000005"/>
    <m/>
    <m/>
    <m/>
  </r>
  <r>
    <s v="m17"/>
    <x v="0"/>
    <x v="1"/>
    <x v="1"/>
    <n v="4"/>
    <x v="51"/>
    <x v="0"/>
    <x v="0"/>
    <n v="0.82399999999999995"/>
    <n v="3.0030000000000001"/>
    <n v="2.9990000000000001"/>
    <n v="0.22500000000000001"/>
    <n v="0.13400000000000001"/>
    <m/>
    <m/>
    <m/>
  </r>
  <r>
    <s v="f53"/>
    <x v="0"/>
    <x v="0"/>
    <x v="0"/>
    <n v="4"/>
    <x v="52"/>
    <x v="0"/>
    <x v="0"/>
    <n v="2.1789999999999998"/>
    <n v="4.2460000000000004"/>
    <n v="4.1589999999999998"/>
    <n v="0.45800000000000002"/>
    <n v="0.52"/>
    <s v="Alimentou recentemente"/>
    <m/>
    <s v="Trocou de pote"/>
  </r>
  <r>
    <s v="f54"/>
    <x v="0"/>
    <x v="0"/>
    <x v="0"/>
    <n v="4"/>
    <x v="53"/>
    <x v="0"/>
    <x v="0"/>
    <n v="2.351"/>
    <n v="4.4039999999999999"/>
    <n v="4.5410000000000004"/>
    <n v="0.51900000000000002"/>
    <n v="0.68600000000000005"/>
    <m/>
    <m/>
    <m/>
  </r>
  <r>
    <s v="m18"/>
    <x v="0"/>
    <x v="1"/>
    <x v="1"/>
    <n v="4"/>
    <x v="53"/>
    <x v="0"/>
    <x v="0"/>
    <n v="0.61299999999999999"/>
    <s v="na"/>
    <n v="2.0640000000000001"/>
    <n v="0.18"/>
    <n v="0.129"/>
    <m/>
    <m/>
    <s v="sem a perna esquerda"/>
  </r>
  <r>
    <s v="f55"/>
    <x v="0"/>
    <x v="0"/>
    <x v="0"/>
    <n v="3"/>
    <x v="54"/>
    <x v="0"/>
    <x v="0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x v="0"/>
    <x v="1"/>
    <x v="1"/>
    <n v="3"/>
    <x v="54"/>
    <x v="0"/>
    <x v="0"/>
    <n v="0.503"/>
    <n v="1.788"/>
    <n v="1.6870000000000001"/>
    <n v="0.154"/>
    <n v="0.111"/>
    <s v="fêmea caiu na vegetação durante a coleta e foi encontrada no mesmo lugar após 1 h"/>
    <m/>
    <m/>
  </r>
  <r>
    <s v="f56"/>
    <x v="0"/>
    <x v="0"/>
    <x v="0"/>
    <n v="3"/>
    <x v="55"/>
    <x v="0"/>
    <x v="0"/>
    <n v="2.5950000000000002"/>
    <n v="5.0780000000000003"/>
    <n v="5.1479999999999997"/>
    <n v="0.56100000000000005"/>
    <n v="0.64800000000000002"/>
    <m/>
    <m/>
    <m/>
  </r>
  <r>
    <s v="m20"/>
    <x v="0"/>
    <x v="1"/>
    <x v="1"/>
    <n v="3"/>
    <x v="55"/>
    <x v="0"/>
    <x v="0"/>
    <n v="0.79600000000000004"/>
    <n v="2.944"/>
    <n v="2.9510999999999998"/>
    <n v="0.251"/>
    <n v="0.14599999999999999"/>
    <m/>
    <m/>
    <m/>
  </r>
  <r>
    <s v="f57"/>
    <x v="0"/>
    <x v="0"/>
    <x v="0"/>
    <n v="3"/>
    <x v="56"/>
    <x v="0"/>
    <x v="0"/>
    <n v="1.82"/>
    <n v="4.5449999999999999"/>
    <n v="4.4080000000000004"/>
    <n v="0.48199999999999998"/>
    <n v="0.38100000000000001"/>
    <s v="Establimento foi identificado após a manipulação"/>
    <m/>
    <m/>
  </r>
  <r>
    <s v="m21"/>
    <x v="0"/>
    <x v="1"/>
    <x v="1"/>
    <n v="3"/>
    <x v="56"/>
    <x v="0"/>
    <x v="0"/>
    <n v="0.69799999999999995"/>
    <n v="2.762"/>
    <s v="na"/>
    <n v="0.21199999999999999"/>
    <n v="0.11899999999999999"/>
    <s v="Establimento foi identificado após a manipulação"/>
    <m/>
    <s v="sem perna direita"/>
  </r>
  <r>
    <s v="f58"/>
    <x v="0"/>
    <x v="0"/>
    <x v="0"/>
    <n v="3"/>
    <x v="57"/>
    <x v="0"/>
    <x v="0"/>
    <n v="2.423"/>
    <n v="5.024"/>
    <n v="5.2489999999999997"/>
    <n v="0.52600000000000002"/>
    <n v="0.53"/>
    <m/>
    <m/>
    <m/>
  </r>
  <r>
    <s v="m22"/>
    <x v="0"/>
    <x v="1"/>
    <x v="1"/>
    <n v="3"/>
    <x v="57"/>
    <x v="0"/>
    <x v="0"/>
    <n v="0.59699999999999998"/>
    <n v="2.0619999999999998"/>
    <n v="2.137"/>
    <n v="0.183"/>
    <n v="0.13500000000000001"/>
    <m/>
    <m/>
    <m/>
  </r>
  <r>
    <s v="f60"/>
    <x v="0"/>
    <x v="0"/>
    <x v="0"/>
    <n v="3"/>
    <x v="58"/>
    <x v="0"/>
    <x v="0"/>
    <n v="2.3119999999999998"/>
    <s v="na"/>
    <n v="5.1630000000000003"/>
    <n v="0.58899999999999997"/>
    <n v="0.52200000000000002"/>
    <m/>
    <m/>
    <m/>
  </r>
  <r>
    <s v="f61"/>
    <x v="0"/>
    <x v="0"/>
    <x v="0"/>
    <n v="5"/>
    <x v="59"/>
    <x v="1"/>
    <x v="5"/>
    <n v="2.4780000000000002"/>
    <n v="4.7229999999999999"/>
    <n v="4.8529999999999998"/>
    <n v="0.52"/>
    <n v="0.57399999999999995"/>
    <m/>
    <m/>
    <m/>
  </r>
  <r>
    <s v="m24"/>
    <x v="0"/>
    <x v="1"/>
    <x v="1"/>
    <n v="5"/>
    <x v="59"/>
    <x v="1"/>
    <x v="5"/>
    <n v="0.86"/>
    <n v="2.9169999999999998"/>
    <n v="2.8809999999999998"/>
    <n v="0.26500000000000001"/>
    <n v="0.14899999999999999"/>
    <m/>
    <m/>
    <m/>
  </r>
  <r>
    <s v="f62"/>
    <x v="0"/>
    <x v="0"/>
    <x v="0"/>
    <n v="5"/>
    <x v="60"/>
    <x v="1"/>
    <x v="5"/>
    <n v="2.242"/>
    <n v="4.8860000000000001"/>
    <n v="4.9160000000000004"/>
    <n v="0.53800000000000003"/>
    <n v="0.35899999999999999"/>
    <m/>
    <m/>
    <s v="Trocou de pote"/>
  </r>
  <r>
    <s v="f63"/>
    <x v="0"/>
    <x v="0"/>
    <x v="0"/>
    <n v="5"/>
    <x v="61"/>
    <x v="1"/>
    <x v="5"/>
    <n v="1.88"/>
    <n v="4.2080000000000002"/>
    <n v="4.16"/>
    <n v="0.42499999999999999"/>
    <n v="0.439"/>
    <m/>
    <m/>
    <m/>
  </r>
  <r>
    <s v="f64"/>
    <x v="0"/>
    <x v="0"/>
    <x v="0"/>
    <n v="5"/>
    <x v="62"/>
    <x v="1"/>
    <x v="5"/>
    <n v="2.1429999999999998"/>
    <n v="4.88"/>
    <n v="4.9710000000000001"/>
    <n v="0.49199999999999999"/>
    <n v="0.41899999999999998"/>
    <m/>
    <m/>
    <s v="Trocou de pote"/>
  </r>
  <r>
    <s v="f65"/>
    <x v="0"/>
    <x v="0"/>
    <x v="0"/>
    <n v="5"/>
    <x v="63"/>
    <x v="1"/>
    <x v="5"/>
    <n v="2.2589999999999999"/>
    <n v="4.452"/>
    <n v="4.431"/>
    <n v="0.47499999999999998"/>
    <n v="0.61199999999999999"/>
    <m/>
    <m/>
    <s v="Trocou de pote"/>
  </r>
  <r>
    <s v="f66"/>
    <x v="0"/>
    <x v="0"/>
    <x v="0"/>
    <s v="sede"/>
    <x v="64"/>
    <x v="0"/>
    <x v="0"/>
    <n v="2.2130000000000001"/>
    <n v="5.24"/>
    <n v="5.1349999999999998"/>
    <n v="0.51900000000000002"/>
    <n v="0.497"/>
    <m/>
    <m/>
    <m/>
  </r>
  <r>
    <s v="f67"/>
    <x v="0"/>
    <x v="0"/>
    <x v="0"/>
    <s v="sede"/>
    <x v="65"/>
    <x v="0"/>
    <x v="0"/>
    <n v="2.6419999999999999"/>
    <n v="5.444"/>
    <n v="5.5540000000000003"/>
    <n v="0.56299999999999994"/>
    <n v="0.54900000000000004"/>
    <m/>
    <m/>
    <m/>
  </r>
  <r>
    <s v="f68"/>
    <x v="0"/>
    <x v="0"/>
    <x v="0"/>
    <n v="6"/>
    <x v="66"/>
    <x v="0"/>
    <x v="0"/>
    <n v="2.4089999999999998"/>
    <n v="4.5590000000000002"/>
    <n v="4.4790000000000001"/>
    <n v="0.45600000000000002"/>
    <n v="0.26700000000000002"/>
    <m/>
    <m/>
    <m/>
  </r>
  <r>
    <s v="f69"/>
    <x v="0"/>
    <x v="0"/>
    <x v="0"/>
    <n v="6"/>
    <x v="67"/>
    <x v="0"/>
    <x v="0"/>
    <n v="2.363"/>
    <n v="4.6559999999999997"/>
    <n v="4.3819999999999997"/>
    <n v="0.504"/>
    <n v="0.54500000000000004"/>
    <m/>
    <m/>
    <m/>
  </r>
  <r>
    <s v="f70"/>
    <x v="0"/>
    <x v="0"/>
    <x v="0"/>
    <n v="6"/>
    <x v="68"/>
    <x v="0"/>
    <x v="0"/>
    <n v="2.109"/>
    <n v="4.4950000000000001"/>
    <n v="4.524"/>
    <n v="0.44900000000000001"/>
    <n v="0.377"/>
    <s v="Alimentou recentemente"/>
    <m/>
    <m/>
  </r>
  <r>
    <s v="f71"/>
    <x v="0"/>
    <x v="0"/>
    <x v="0"/>
    <n v="6"/>
    <x v="69"/>
    <x v="0"/>
    <x v="0"/>
    <n v="2.2679999999999998"/>
    <n v="5.2309999999999999"/>
    <n v="5.2060000000000004"/>
    <n v="0.49299999999999999"/>
    <n v="0.27400000000000002"/>
    <m/>
    <m/>
    <m/>
  </r>
  <r>
    <s v="f72"/>
    <x v="0"/>
    <x v="0"/>
    <x v="0"/>
    <n v="6"/>
    <x v="70"/>
    <x v="0"/>
    <x v="0"/>
    <n v="2.383"/>
    <n v="5.0860000000000003"/>
    <n v="5.0250000000000004"/>
    <n v="0.57199999999999995"/>
    <n v="0.38400000000000001"/>
    <s v="Apresentou uma bolinha vermelha na cabeça"/>
    <m/>
    <m/>
  </r>
  <r>
    <s v="f73"/>
    <x v="0"/>
    <x v="0"/>
    <x v="0"/>
    <n v="3"/>
    <x v="71"/>
    <x v="0"/>
    <x v="0"/>
    <n v="2.6859999999999999"/>
    <n v="5.2930000000000001"/>
    <n v="5.3029999999999999"/>
    <n v="0.52200000000000002"/>
    <n v="0.46100000000000002"/>
    <m/>
    <m/>
    <m/>
  </r>
  <r>
    <s v="f74"/>
    <x v="0"/>
    <x v="0"/>
    <x v="0"/>
    <s v="sede"/>
    <x v="72"/>
    <x v="0"/>
    <x v="0"/>
    <n v="2.0939999999999999"/>
    <n v="4.4509999999999996"/>
    <n v="4.3520000000000003"/>
    <n v="0.47"/>
    <n v="0.438"/>
    <m/>
    <m/>
    <m/>
  </r>
  <r>
    <s v="f75"/>
    <x v="0"/>
    <x v="0"/>
    <x v="0"/>
    <s v="sede"/>
    <x v="73"/>
    <x v="0"/>
    <x v="0"/>
    <n v="2.097"/>
    <s v="na"/>
    <s v="na"/>
    <n v="0.49299999999999999"/>
    <n v="0.33900000000000002"/>
    <m/>
    <m/>
    <m/>
  </r>
  <r>
    <s v="f76"/>
    <x v="0"/>
    <x v="0"/>
    <x v="0"/>
    <n v="1"/>
    <x v="74"/>
    <x v="0"/>
    <x v="0"/>
    <n v="2.5129999999999999"/>
    <n v="5.2830000000000004"/>
    <n v="5.4009999999999998"/>
    <n v="0.57499999999999996"/>
    <n v="0.41"/>
    <s v="Alimentou recentemente"/>
    <m/>
    <m/>
  </r>
  <r>
    <s v="m25"/>
    <x v="1"/>
    <x v="1"/>
    <x v="1"/>
    <n v="1"/>
    <x v="75"/>
    <x v="0"/>
    <x v="0"/>
    <n v="0.73799999999999999"/>
    <n v="2.54"/>
    <n v="2.5670000000000002"/>
    <n v="0.193"/>
    <n v="0.14699999999999999"/>
    <m/>
    <m/>
    <m/>
  </r>
  <r>
    <s v="m26"/>
    <x v="1"/>
    <x v="1"/>
    <x v="2"/>
    <n v="1"/>
    <x v="75"/>
    <x v="0"/>
    <x v="0"/>
    <n v="0.626"/>
    <n v="2.141"/>
    <n v="2.1269999999999998"/>
    <n v="0.182"/>
    <n v="0.113"/>
    <m/>
    <m/>
    <m/>
  </r>
  <r>
    <s v="f77"/>
    <x v="1"/>
    <x v="0"/>
    <x v="0"/>
    <n v="1"/>
    <x v="75"/>
    <x v="0"/>
    <x v="0"/>
    <n v="1.571"/>
    <n v="4.4820000000000002"/>
    <n v="4.4930000000000003"/>
    <n v="0.45"/>
    <n v="0.40100000000000002"/>
    <m/>
    <m/>
    <m/>
  </r>
  <r>
    <s v="f78"/>
    <x v="1"/>
    <x v="0"/>
    <x v="0"/>
    <n v="1"/>
    <x v="76"/>
    <x v="0"/>
    <x v="0"/>
    <n v="2.1389999999999998"/>
    <n v="4.5190000000000001"/>
    <n v="4.5410000000000004"/>
    <n v="0.442"/>
    <n v="0.40699999999999997"/>
    <m/>
    <m/>
    <m/>
  </r>
  <r>
    <s v="m27"/>
    <x v="1"/>
    <x v="1"/>
    <x v="1"/>
    <n v="1"/>
    <x v="76"/>
    <x v="0"/>
    <x v="0"/>
    <n v="0.61399999999999999"/>
    <n v="2.2989999999999999"/>
    <n v="2.3119999999999998"/>
    <n v="0.19"/>
    <n v="0.125"/>
    <m/>
    <m/>
    <m/>
  </r>
  <r>
    <s v="f79"/>
    <x v="1"/>
    <x v="0"/>
    <x v="0"/>
    <n v="1"/>
    <x v="77"/>
    <x v="0"/>
    <x v="0"/>
    <n v="1.57"/>
    <n v="4.62"/>
    <n v="4.5759999999999996"/>
    <n v="0.44500000000000001"/>
    <n v="0.30599999999999999"/>
    <m/>
    <m/>
    <m/>
  </r>
  <r>
    <s v="m28"/>
    <x v="1"/>
    <x v="1"/>
    <x v="1"/>
    <n v="1"/>
    <x v="77"/>
    <x v="0"/>
    <x v="0"/>
    <n v="0.69299999999999995"/>
    <n v="2.3530000000000002"/>
    <n v="2.3140000000000001"/>
    <n v="0.17799999999999999"/>
    <n v="0.14000000000000001"/>
    <m/>
    <m/>
    <m/>
  </r>
  <r>
    <s v="m29"/>
    <x v="1"/>
    <x v="1"/>
    <x v="2"/>
    <n v="1"/>
    <x v="77"/>
    <x v="0"/>
    <x v="0"/>
    <n v="0.623"/>
    <n v="2.3260000000000001"/>
    <s v="2,29,"/>
    <n v="0.17199999999999999"/>
    <n v="0.126"/>
    <m/>
    <m/>
    <m/>
  </r>
  <r>
    <s v="f80"/>
    <x v="1"/>
    <x v="0"/>
    <x v="0"/>
    <n v="3"/>
    <x v="78"/>
    <x v="1"/>
    <x v="6"/>
    <n v="1.0980000000000001"/>
    <n v="3.0640000000000001"/>
    <n v="3.1970000000000001"/>
    <n v="0.29599999999999999"/>
    <n v="0.24099999999999999"/>
    <m/>
    <m/>
    <m/>
  </r>
  <r>
    <s v="f81"/>
    <x v="1"/>
    <x v="0"/>
    <x v="0"/>
    <n v="3"/>
    <x v="79"/>
    <x v="1"/>
    <x v="6"/>
    <n v="1.482"/>
    <n v="3.43"/>
    <s v="na"/>
    <n v="0.36799999999999999"/>
    <n v="0.29399999999999998"/>
    <m/>
    <m/>
    <m/>
  </r>
  <r>
    <s v="f82"/>
    <x v="1"/>
    <x v="0"/>
    <x v="0"/>
    <n v="3"/>
    <x v="80"/>
    <x v="1"/>
    <x v="6"/>
    <n v="1.9630000000000001"/>
    <n v="4.4909999999999997"/>
    <n v="4.5529999999999999"/>
    <n v="0.436"/>
    <n v="0.41"/>
    <m/>
    <m/>
    <m/>
  </r>
  <r>
    <s v="f83"/>
    <x v="1"/>
    <x v="0"/>
    <x v="0"/>
    <n v="3"/>
    <x v="81"/>
    <x v="1"/>
    <x v="6"/>
    <n v="1.3919999999999999"/>
    <n v="3.109"/>
    <n v="3.105"/>
    <n v="0.30099999999999999"/>
    <n v="0.27400000000000002"/>
    <s v="Foto nova"/>
    <m/>
    <m/>
  </r>
  <r>
    <s v="m30"/>
    <x v="1"/>
    <x v="1"/>
    <x v="1"/>
    <n v="3"/>
    <x v="82"/>
    <x v="1"/>
    <x v="6"/>
    <n v="0.59699999999999998"/>
    <n v="2.37"/>
    <n v="2.2050000000000001"/>
    <n v="0.20699999999999999"/>
    <n v="0.1"/>
    <s v="Perna esquerda quebrou"/>
    <m/>
    <m/>
  </r>
  <r>
    <s v="f84"/>
    <x v="1"/>
    <x v="0"/>
    <x v="0"/>
    <n v="3"/>
    <x v="82"/>
    <x v="1"/>
    <x v="6"/>
    <n v="2.29"/>
    <n v="4.6159999999999997"/>
    <n v="4.4870000000000001"/>
    <n v="0.498"/>
    <n v="0.626"/>
    <m/>
    <m/>
    <m/>
  </r>
  <r>
    <s v="f85"/>
    <x v="1"/>
    <x v="0"/>
    <x v="0"/>
    <n v="3"/>
    <x v="83"/>
    <x v="1"/>
    <x v="6"/>
    <n v="2.1429999999999998"/>
    <n v="4.74"/>
    <n v="3.7469999999999999"/>
    <n v="0.54500000000000004"/>
    <n v="0.50900000000000001"/>
    <m/>
    <m/>
    <m/>
  </r>
  <r>
    <s v="m31"/>
    <x v="1"/>
    <x v="1"/>
    <x v="2"/>
    <n v="3"/>
    <x v="83"/>
    <x v="1"/>
    <x v="6"/>
    <n v="0.65300000000000002"/>
    <n v="2.1909999999999998"/>
    <s v="na"/>
    <n v="0.152"/>
    <n v="0.14599999999999999"/>
    <m/>
    <m/>
    <m/>
  </r>
  <r>
    <s v="m32"/>
    <x v="1"/>
    <x v="1"/>
    <x v="1"/>
    <n v="3"/>
    <x v="83"/>
    <x v="1"/>
    <x v="6"/>
    <n v="0.90600000000000003"/>
    <n v="3.484"/>
    <n v="3.4980000000000002"/>
    <n v="0.28599999999999998"/>
    <n v="0.14199999999999999"/>
    <m/>
    <m/>
    <m/>
  </r>
  <r>
    <s v="f86"/>
    <x v="1"/>
    <x v="0"/>
    <x v="0"/>
    <n v="3"/>
    <x v="84"/>
    <x v="1"/>
    <x v="6"/>
    <n v="2.1669999999999998"/>
    <n v="4.9630000000000001"/>
    <s v="na"/>
    <n v="0.47499999999999998"/>
    <n v="0.64900000000000002"/>
    <m/>
    <m/>
    <m/>
  </r>
  <r>
    <s v="m33"/>
    <x v="1"/>
    <x v="1"/>
    <x v="2"/>
    <n v="3"/>
    <x v="84"/>
    <x v="1"/>
    <x v="6"/>
    <n v="0.51700000000000002"/>
    <s v="na"/>
    <n v="1.6639999999999999"/>
    <n v="0.13900000000000001"/>
    <n v="0.105"/>
    <s v="perdeu pedaço da perna ela tem de 2 a 3 mm"/>
    <m/>
    <m/>
  </r>
  <r>
    <s v="m34"/>
    <x v="1"/>
    <x v="1"/>
    <x v="2"/>
    <n v="3"/>
    <x v="84"/>
    <x v="1"/>
    <x v="6"/>
    <n v="0.68500000000000005"/>
    <n v="2.6389999999999998"/>
    <s v="na"/>
    <n v="0.20799999999999999"/>
    <n v="0.107"/>
    <m/>
    <m/>
    <m/>
  </r>
  <r>
    <s v="m35"/>
    <x v="1"/>
    <x v="1"/>
    <x v="1"/>
    <n v="3"/>
    <x v="84"/>
    <x v="1"/>
    <x v="6"/>
    <n v="0.66400000000000003"/>
    <n v="2.1560000000000001"/>
    <n v="2.1389999999999998"/>
    <n v="0.2"/>
    <n v="0.13500000000000001"/>
    <m/>
    <m/>
    <m/>
  </r>
  <r>
    <s v="m36"/>
    <x v="1"/>
    <x v="1"/>
    <x v="2"/>
    <n v="3"/>
    <x v="84"/>
    <x v="1"/>
    <x v="6"/>
    <n v="0.63300000000000001"/>
    <s v="na"/>
    <s v="na"/>
    <n v="0.17499999999999999"/>
    <n v="0.13100000000000001"/>
    <m/>
    <m/>
    <m/>
  </r>
  <r>
    <s v="m37"/>
    <x v="1"/>
    <x v="1"/>
    <x v="2"/>
    <n v="3"/>
    <x v="84"/>
    <x v="1"/>
    <x v="6"/>
    <n v="0.61"/>
    <n v="1.9019999999999999"/>
    <n v="1.8260000000000001"/>
    <n v="0.16600000000000001"/>
    <n v="0.126"/>
    <m/>
    <m/>
    <m/>
  </r>
  <r>
    <s v="m38"/>
    <x v="1"/>
    <x v="1"/>
    <x v="2"/>
    <n v="3"/>
    <x v="84"/>
    <x v="1"/>
    <x v="6"/>
    <n v="0.58499999999999996"/>
    <n v="1.79"/>
    <n v="1.78"/>
    <n v="0.191"/>
    <n v="0.13300000000000001"/>
    <m/>
    <m/>
    <m/>
  </r>
  <r>
    <s v="m39"/>
    <x v="1"/>
    <x v="1"/>
    <x v="2"/>
    <n v="3"/>
    <x v="84"/>
    <x v="1"/>
    <x v="6"/>
    <n v="0.66100000000000003"/>
    <n v="2.3149999999999999"/>
    <s v="na"/>
    <n v="0.182"/>
    <n v="0.112"/>
    <m/>
    <m/>
    <m/>
  </r>
  <r>
    <s v="m40"/>
    <x v="1"/>
    <x v="1"/>
    <x v="2"/>
    <n v="3"/>
    <x v="84"/>
    <x v="1"/>
    <x v="6"/>
    <n v="0.65800000000000003"/>
    <s v="na"/>
    <n v="2.407"/>
    <n v="0.192"/>
    <n v="0.13200000000000001"/>
    <m/>
    <m/>
    <m/>
  </r>
  <r>
    <s v="f87"/>
    <x v="1"/>
    <x v="0"/>
    <x v="0"/>
    <n v="3"/>
    <x v="85"/>
    <x v="1"/>
    <x v="6"/>
    <n v="1.8240000000000001"/>
    <n v="5.0720000000000001"/>
    <n v="5.14"/>
    <n v="0.51200000000000001"/>
    <n v="0.34100000000000003"/>
    <m/>
    <m/>
    <m/>
  </r>
  <r>
    <s v="f88"/>
    <x v="1"/>
    <x v="0"/>
    <x v="0"/>
    <n v="3"/>
    <x v="86"/>
    <x v="1"/>
    <x v="7"/>
    <n v="1.3140000000000001"/>
    <n v="3.69"/>
    <s v="na"/>
    <n v="0.38400000000000001"/>
    <n v="0.27200000000000002"/>
    <m/>
    <m/>
    <m/>
  </r>
  <r>
    <s v="m41"/>
    <x v="1"/>
    <x v="1"/>
    <x v="1"/>
    <n v="3"/>
    <x v="86"/>
    <x v="1"/>
    <x v="7"/>
    <n v="0.62"/>
    <s v="na"/>
    <n v="2.0960000000000001"/>
    <n v="0.16600000000000001"/>
    <n v="0.126"/>
    <m/>
    <m/>
    <m/>
  </r>
  <r>
    <s v="f89"/>
    <x v="1"/>
    <x v="0"/>
    <x v="0"/>
    <n v="3"/>
    <x v="87"/>
    <x v="1"/>
    <x v="7"/>
    <n v="1.2789999999999999"/>
    <n v="2.9990000000000001"/>
    <n v="3.2290000000000001"/>
    <n v="0.34300000000000003"/>
    <n v="0.27100000000000002"/>
    <m/>
    <m/>
    <m/>
  </r>
  <r>
    <s v="f90"/>
    <x v="1"/>
    <x v="0"/>
    <x v="0"/>
    <n v="3"/>
    <x v="88"/>
    <x v="1"/>
    <x v="7"/>
    <n v="2.141"/>
    <n v="5.008"/>
    <s v="na"/>
    <n v="0.48299999999999998"/>
    <n v="0.47"/>
    <s v="Foto nova"/>
    <m/>
    <m/>
  </r>
  <r>
    <s v="m42"/>
    <x v="1"/>
    <x v="1"/>
    <x v="1"/>
    <n v="3"/>
    <x v="88"/>
    <x v="1"/>
    <x v="7"/>
    <n v="0.84299999999999997"/>
    <n v="3.0139999999999998"/>
    <n v="2.984"/>
    <n v="0.26700000000000002"/>
    <n v="0.14799999999999999"/>
    <m/>
    <m/>
    <m/>
  </r>
  <r>
    <s v="m43"/>
    <x v="1"/>
    <x v="1"/>
    <x v="2"/>
    <n v="3"/>
    <x v="88"/>
    <x v="1"/>
    <x v="7"/>
    <n v="0.67500000000000004"/>
    <n v="2.4529999999999998"/>
    <n v="2.5179999999999998"/>
    <n v="0.24199999999999999"/>
    <n v="0.17299999999999999"/>
    <m/>
    <m/>
    <m/>
  </r>
  <r>
    <s v="f91"/>
    <x v="1"/>
    <x v="0"/>
    <x v="0"/>
    <n v="6"/>
    <x v="89"/>
    <x v="1"/>
    <x v="8"/>
    <n v="1.347"/>
    <n v="3.1520000000000001"/>
    <n v="3.2250000000000001"/>
    <n v="0.35699999999999998"/>
    <n v="0.24099999999999999"/>
    <m/>
    <m/>
    <m/>
  </r>
  <r>
    <s v="m44"/>
    <x v="1"/>
    <x v="1"/>
    <x v="1"/>
    <n v="6"/>
    <x v="90"/>
    <x v="1"/>
    <x v="8"/>
    <n v="0.627"/>
    <n v="2.2370000000000001"/>
    <s v="na"/>
    <n v="0.191"/>
    <n v="0.11899999999999999"/>
    <m/>
    <m/>
    <m/>
  </r>
  <r>
    <s v="f92"/>
    <x v="1"/>
    <x v="0"/>
    <x v="0"/>
    <n v="6"/>
    <x v="90"/>
    <x v="1"/>
    <x v="8"/>
    <n v="1.623"/>
    <n v="5.2080000000000002"/>
    <n v="5.0780000000000003"/>
    <n v="0.58399999999999996"/>
    <n v="0.48"/>
    <m/>
    <m/>
    <m/>
  </r>
  <r>
    <s v="f94"/>
    <x v="1"/>
    <x v="0"/>
    <x v="0"/>
    <n v="6"/>
    <x v="91"/>
    <x v="1"/>
    <x v="8"/>
    <n v="2.0960000000000001"/>
    <n v="4.7270000000000003"/>
    <n v="4.7590000000000003"/>
    <n v="0.502"/>
    <n v="0.53900000000000003"/>
    <m/>
    <m/>
    <m/>
  </r>
  <r>
    <s v="m49"/>
    <x v="1"/>
    <x v="1"/>
    <x v="1"/>
    <n v="6"/>
    <x v="91"/>
    <x v="1"/>
    <x v="8"/>
    <n v="0.65800000000000003"/>
    <n v="2.5680000000000001"/>
    <n v="2.673"/>
    <n v="0.21299999999999999"/>
    <n v="0.13300000000000001"/>
    <m/>
    <m/>
    <m/>
  </r>
  <r>
    <s v="m50"/>
    <x v="1"/>
    <x v="1"/>
    <x v="2"/>
    <n v="6"/>
    <x v="91"/>
    <x v="1"/>
    <x v="8"/>
    <n v="0.68100000000000005"/>
    <n v="1.931"/>
    <n v="2.359"/>
    <n v="0.22700000000000001"/>
    <n v="0.121"/>
    <m/>
    <m/>
    <m/>
  </r>
  <r>
    <s v="m51"/>
    <x v="1"/>
    <x v="1"/>
    <x v="2"/>
    <n v="6"/>
    <x v="91"/>
    <x v="1"/>
    <x v="8"/>
    <n v="0.64200000000000002"/>
    <n v="1.9279999999999999"/>
    <n v="1.849"/>
    <n v="0.17100000000000001"/>
    <n v="0.127"/>
    <m/>
    <m/>
    <m/>
  </r>
  <r>
    <s v="m52"/>
    <x v="1"/>
    <x v="1"/>
    <x v="2"/>
    <n v="6"/>
    <x v="91"/>
    <x v="1"/>
    <x v="8"/>
    <n v="0.58399999999999996"/>
    <n v="2.0379999999999998"/>
    <n v="1.871"/>
    <n v="0.16900000000000001"/>
    <n v="0.11799999999999999"/>
    <s v="Foto nova"/>
    <m/>
    <m/>
  </r>
  <r>
    <s v="m55"/>
    <x v="1"/>
    <x v="1"/>
    <x v="2"/>
    <n v="1"/>
    <x v="92"/>
    <x v="1"/>
    <x v="9"/>
    <n v="0.57199999999999995"/>
    <n v="1.7070000000000001"/>
    <n v="1.8560000000000001"/>
    <n v="0.14299999999999999"/>
    <n v="0.11"/>
    <m/>
    <m/>
    <m/>
  </r>
  <r>
    <s v="m56"/>
    <x v="1"/>
    <x v="1"/>
    <x v="1"/>
    <n v="1"/>
    <x v="92"/>
    <x v="1"/>
    <x v="9"/>
    <n v="0.59499999999999997"/>
    <n v="2.2770000000000001"/>
    <s v="na"/>
    <n v="0.17599999999999999"/>
    <n v="0.11700000000000001"/>
    <m/>
    <m/>
    <m/>
  </r>
  <r>
    <s v="f95"/>
    <x v="1"/>
    <x v="0"/>
    <x v="0"/>
    <n v="1"/>
    <x v="92"/>
    <x v="1"/>
    <x v="9"/>
    <n v="2.0059999999999998"/>
    <n v="5.3490000000000002"/>
    <n v="5.3490000000000002"/>
    <n v="0.57099999999999995"/>
    <n v="0.35"/>
    <m/>
    <m/>
    <m/>
  </r>
  <r>
    <s v="f96"/>
    <x v="1"/>
    <x v="0"/>
    <x v="0"/>
    <n v="1"/>
    <x v="93"/>
    <x v="1"/>
    <x v="9"/>
    <n v="2.13"/>
    <n v="4.5940000000000003"/>
    <n v="4.6790000000000003"/>
    <n v="0.51900000000000002"/>
    <n v="0.47"/>
    <m/>
    <m/>
    <m/>
  </r>
  <r>
    <s v="f97"/>
    <x v="1"/>
    <x v="0"/>
    <x v="0"/>
    <n v="1"/>
    <x v="94"/>
    <x v="1"/>
    <x v="9"/>
    <n v="1.3879999999999999"/>
    <s v="na"/>
    <n v="3.452"/>
    <n v="0.34899999999999998"/>
    <n v="0.22900000000000001"/>
    <m/>
    <m/>
    <m/>
  </r>
  <r>
    <s v="m57"/>
    <x v="1"/>
    <x v="1"/>
    <x v="1"/>
    <n v="1"/>
    <x v="94"/>
    <x v="1"/>
    <x v="9"/>
    <n v="0.56000000000000005"/>
    <n v="1.958"/>
    <n v="1.972"/>
    <n v="0.184"/>
    <n v="8.7999999999999995E-2"/>
    <m/>
    <m/>
    <m/>
  </r>
  <r>
    <s v="m58"/>
    <x v="1"/>
    <x v="1"/>
    <x v="1"/>
    <n v="1"/>
    <x v="95"/>
    <x v="1"/>
    <x v="9"/>
    <n v="0.7"/>
    <n v="2.2349999999999999"/>
    <n v="2.0409999999999999"/>
    <n v="0.20599999999999999"/>
    <n v="0.129"/>
    <m/>
    <m/>
    <m/>
  </r>
  <r>
    <s v="f98"/>
    <x v="1"/>
    <x v="0"/>
    <x v="0"/>
    <n v="1"/>
    <x v="95"/>
    <x v="1"/>
    <x v="9"/>
    <n v="1.74"/>
    <n v="3.87"/>
    <n v="3.843"/>
    <n v="0.33300000000000002"/>
    <n v="0.26100000000000001"/>
    <m/>
    <m/>
    <m/>
  </r>
  <r>
    <s v="f99"/>
    <x v="1"/>
    <x v="0"/>
    <x v="0"/>
    <n v="1"/>
    <x v="96"/>
    <x v="1"/>
    <x v="9"/>
    <n v="1.6020000000000001"/>
    <n v="3.86"/>
    <n v="3.899"/>
    <n v="0.40100000000000002"/>
    <n v="0.318"/>
    <m/>
    <m/>
    <m/>
  </r>
  <r>
    <s v="m59"/>
    <x v="1"/>
    <x v="1"/>
    <x v="1"/>
    <n v="1"/>
    <x v="96"/>
    <x v="1"/>
    <x v="9"/>
    <n v="0.72"/>
    <n v="2.3780000000000001"/>
    <n v="2.4369999999999998"/>
    <n v="0.216"/>
    <n v="0.13"/>
    <s v="Foto nova"/>
    <m/>
    <m/>
  </r>
  <r>
    <s v="m60"/>
    <x v="1"/>
    <x v="1"/>
    <x v="2"/>
    <n v="1"/>
    <x v="96"/>
    <x v="1"/>
    <x v="9"/>
    <n v="0.64900000000000002"/>
    <n v="2.0390000000000001"/>
    <n v="2.012"/>
    <n v="0.19700000000000001"/>
    <n v="0.125"/>
    <m/>
    <m/>
    <m/>
  </r>
  <r>
    <s v="f100"/>
    <x v="1"/>
    <x v="0"/>
    <x v="0"/>
    <n v="1"/>
    <x v="97"/>
    <x v="1"/>
    <x v="10"/>
    <n v="1.919"/>
    <n v="4.5869999999999997"/>
    <n v="4.3940000000000001"/>
    <n v="0.51"/>
    <n v="0.46800000000000003"/>
    <m/>
    <m/>
    <m/>
  </r>
  <r>
    <s v="m61"/>
    <x v="1"/>
    <x v="1"/>
    <x v="1"/>
    <n v="1"/>
    <x v="97"/>
    <x v="1"/>
    <x v="10"/>
    <n v="0.64800000000000002"/>
    <n v="2.4039999999999999"/>
    <n v="2.395"/>
    <n v="0.18"/>
    <n v="0.121"/>
    <m/>
    <m/>
    <m/>
  </r>
  <r>
    <s v="m62"/>
    <x v="1"/>
    <x v="1"/>
    <x v="1"/>
    <n v="1"/>
    <x v="98"/>
    <x v="1"/>
    <x v="10"/>
    <n v="0.62"/>
    <n v="2.3559999999999999"/>
    <n v="2.0430000000000001"/>
    <n v="0.17899999999999999"/>
    <n v="0.104"/>
    <m/>
    <m/>
    <m/>
  </r>
  <r>
    <s v="f102"/>
    <x v="1"/>
    <x v="0"/>
    <x v="0"/>
    <n v="1"/>
    <x v="98"/>
    <x v="1"/>
    <x v="10"/>
    <n v="2.2930000000000001"/>
    <n v="4.8540000000000001"/>
    <n v="4.7009999999999996"/>
    <n v="0.50800000000000001"/>
    <n v="0.45700000000000002"/>
    <m/>
    <m/>
    <m/>
  </r>
  <r>
    <s v="f103"/>
    <x v="1"/>
    <x v="0"/>
    <x v="0"/>
    <n v="1"/>
    <x v="99"/>
    <x v="1"/>
    <x v="10"/>
    <n v="1.4"/>
    <n v="3.6520000000000001"/>
    <n v="3.629"/>
    <n v="0.39700000000000002"/>
    <s v="na"/>
    <m/>
    <m/>
    <m/>
  </r>
  <r>
    <s v="m63"/>
    <x v="1"/>
    <x v="1"/>
    <x v="1"/>
    <n v="1"/>
    <x v="99"/>
    <x v="1"/>
    <x v="10"/>
    <n v="0.56999999999999995"/>
    <n v="2.0409999999999999"/>
    <n v="1.996"/>
    <n v="0.19700000000000001"/>
    <n v="0.11799999999999999"/>
    <m/>
    <m/>
    <m/>
  </r>
  <r>
    <s v="f104"/>
    <x v="1"/>
    <x v="0"/>
    <x v="0"/>
    <n v="1"/>
    <x v="100"/>
    <x v="1"/>
    <x v="11"/>
    <n v="1.738"/>
    <n v="4.47"/>
    <n v="4.335"/>
    <n v="0.437"/>
    <s v="na"/>
    <m/>
    <m/>
    <m/>
  </r>
  <r>
    <s v="m64"/>
    <x v="1"/>
    <x v="1"/>
    <x v="1"/>
    <n v="1"/>
    <x v="100"/>
    <x v="1"/>
    <x v="11"/>
    <n v="0.65"/>
    <n v="1.9670000000000001"/>
    <s v="na"/>
    <n v="0.161"/>
    <n v="0.123"/>
    <m/>
    <m/>
    <m/>
  </r>
  <r>
    <s v="f105"/>
    <x v="1"/>
    <x v="0"/>
    <x v="0"/>
    <n v="1"/>
    <x v="101"/>
    <x v="1"/>
    <x v="11"/>
    <n v="1.4610000000000001"/>
    <n v="2.9660000000000002"/>
    <n v="2.9340000000000002"/>
    <n v="0.308"/>
    <n v="0.253"/>
    <m/>
    <m/>
    <m/>
  </r>
  <r>
    <s v="m65"/>
    <x v="1"/>
    <x v="1"/>
    <x v="2"/>
    <n v="1"/>
    <x v="102"/>
    <x v="1"/>
    <x v="11"/>
    <n v="0.433"/>
    <n v="1.3120000000000001"/>
    <n v="1.399"/>
    <n v="0.128"/>
    <n v="9.6000000000000002E-2"/>
    <m/>
    <m/>
    <m/>
  </r>
  <r>
    <s v="f106"/>
    <x v="1"/>
    <x v="0"/>
    <x v="0"/>
    <n v="1"/>
    <x v="102"/>
    <x v="1"/>
    <x v="11"/>
    <n v="2.1720000000000002"/>
    <n v="4.47"/>
    <s v="na"/>
    <n v="0.51600000000000001"/>
    <n v="0.52700000000000002"/>
    <m/>
    <m/>
    <m/>
  </r>
  <r>
    <s v="m66"/>
    <x v="1"/>
    <x v="1"/>
    <x v="1"/>
    <n v="1"/>
    <x v="103"/>
    <x v="1"/>
    <x v="11"/>
    <n v="0.56899999999999995"/>
    <s v="na"/>
    <n v="1.7969999999999999"/>
    <n v="0.16400000000000001"/>
    <n v="0.109"/>
    <m/>
    <m/>
    <m/>
  </r>
  <r>
    <s v="f107"/>
    <x v="1"/>
    <x v="0"/>
    <x v="0"/>
    <n v="1"/>
    <x v="103"/>
    <x v="1"/>
    <x v="11"/>
    <n v="1.9059999999999999"/>
    <n v="4.1230000000000002"/>
    <n v="4.0439999999999996"/>
    <n v="0.45500000000000002"/>
    <n v="0.36799999999999999"/>
    <m/>
    <m/>
    <m/>
  </r>
  <r>
    <s v="f108"/>
    <x v="1"/>
    <x v="0"/>
    <x v="0"/>
    <n v="1"/>
    <x v="104"/>
    <x v="0"/>
    <x v="0"/>
    <n v="2.37"/>
    <n v="4.4029999999999996"/>
    <n v="4.4550000000000001"/>
    <n v="0.40400000000000003"/>
    <n v="0.45800000000000002"/>
    <m/>
    <m/>
    <m/>
  </r>
  <r>
    <s v="f109"/>
    <x v="1"/>
    <x v="0"/>
    <x v="0"/>
    <n v="1"/>
    <x v="105"/>
    <x v="0"/>
    <x v="0"/>
    <n v="2.2050000000000001"/>
    <n v="4.7569999999999997"/>
    <n v="4.6779999999999999"/>
    <n v="0.44700000000000001"/>
    <n v="0.379"/>
    <m/>
    <m/>
    <m/>
  </r>
  <r>
    <s v="m67"/>
    <x v="1"/>
    <x v="1"/>
    <x v="1"/>
    <n v="1"/>
    <x v="105"/>
    <x v="0"/>
    <x v="0"/>
    <n v="0.61599999999999999"/>
    <n v="2.1800000000000002"/>
    <n v="2.2639999999999998"/>
    <n v="0.24099999999999999"/>
    <n v="0.11799999999999999"/>
    <m/>
    <m/>
    <m/>
  </r>
  <r>
    <s v="f110"/>
    <x v="1"/>
    <x v="0"/>
    <x v="0"/>
    <n v="1"/>
    <x v="106"/>
    <x v="0"/>
    <x v="0"/>
    <n v="2.319"/>
    <s v="na"/>
    <n v="4.1109999999999998"/>
    <n v="0.34699999999999998"/>
    <n v="0.52300000000000002"/>
    <s v="Madura?-  Madura"/>
    <m/>
    <m/>
  </r>
  <r>
    <s v="f111"/>
    <x v="1"/>
    <x v="0"/>
    <x v="0"/>
    <n v="1"/>
    <x v="107"/>
    <x v="0"/>
    <x v="0"/>
    <n v="2.09"/>
    <n v="4.8150000000000004"/>
    <n v="4.875"/>
    <n v="0.49099999999999999"/>
    <n v="0.621"/>
    <s v="madura?- Madura"/>
    <m/>
    <m/>
  </r>
  <r>
    <s v="m68"/>
    <x v="1"/>
    <x v="1"/>
    <x v="1"/>
    <n v="1"/>
    <x v="107"/>
    <x v="0"/>
    <x v="0"/>
    <n v="0.57199999999999995"/>
    <n v="2.0739999999999998"/>
    <n v="2.113"/>
    <n v="0.21099999999999999"/>
    <n v="0.112"/>
    <m/>
    <m/>
    <m/>
  </r>
  <r>
    <s v="f112"/>
    <x v="1"/>
    <x v="0"/>
    <x v="0"/>
    <n v="1"/>
    <x v="108"/>
    <x v="0"/>
    <x v="0"/>
    <n v="2.6739999999999999"/>
    <n v="4.8520000000000003"/>
    <n v="4.8620000000000001"/>
    <n v="0.54400000000000004"/>
    <n v="0.64700000000000002"/>
    <s v="Perdeu a perna na coleta"/>
    <m/>
    <m/>
  </r>
  <r>
    <s v="f113"/>
    <x v="1"/>
    <x v="0"/>
    <x v="0"/>
    <n v="4"/>
    <x v="109"/>
    <x v="0"/>
    <x v="0"/>
    <n v="2.0139999999999998"/>
    <n v="4.4480000000000004"/>
    <s v="na"/>
    <n v="0.46500000000000002"/>
    <n v="0.5"/>
    <m/>
    <m/>
    <m/>
  </r>
  <r>
    <s v="m69"/>
    <x v="1"/>
    <x v="1"/>
    <x v="1"/>
    <n v="4"/>
    <x v="109"/>
    <x v="0"/>
    <x v="0"/>
    <n v="0.67500000000000004"/>
    <s v="na"/>
    <s v="na"/>
    <n v="0.19700000000000001"/>
    <n v="0.13900000000000001"/>
    <m/>
    <m/>
    <m/>
  </r>
  <r>
    <s v="f114"/>
    <x v="1"/>
    <x v="0"/>
    <x v="0"/>
    <n v="4"/>
    <x v="110"/>
    <x v="0"/>
    <x v="0"/>
    <n v="2.5059999999999998"/>
    <n v="4.9939999999999998"/>
    <n v="4.9729999999999999"/>
    <n v="0.52500000000000002"/>
    <n v="0.68500000000000005"/>
    <m/>
    <m/>
    <m/>
  </r>
  <r>
    <s v="m70"/>
    <x v="1"/>
    <x v="1"/>
    <x v="1"/>
    <n v="4"/>
    <x v="110"/>
    <x v="0"/>
    <x v="0"/>
    <n v="0.78900000000000003"/>
    <n v="3.03"/>
    <n v="3.0529999999999999"/>
    <n v="0.26800000000000002"/>
    <n v="0.128"/>
    <m/>
    <m/>
    <m/>
  </r>
  <r>
    <s v="f115"/>
    <x v="1"/>
    <x v="0"/>
    <x v="0"/>
    <n v="4"/>
    <x v="111"/>
    <x v="0"/>
    <x v="0"/>
    <n v="2.335"/>
    <n v="5.77"/>
    <n v="5.7569999999999997"/>
    <n v="0.55900000000000005"/>
    <n v="0.66900000000000004"/>
    <m/>
    <m/>
    <m/>
  </r>
  <r>
    <s v="m71"/>
    <x v="1"/>
    <x v="1"/>
    <x v="1"/>
    <n v="4"/>
    <x v="111"/>
    <x v="0"/>
    <x v="0"/>
    <n v="0.63500000000000001"/>
    <n v="2.3170000000000002"/>
    <n v="2.3079999999999998"/>
    <n v="0.22600000000000001"/>
    <n v="0.14699999999999999"/>
    <m/>
    <m/>
    <m/>
  </r>
  <r>
    <s v="f116"/>
    <x v="1"/>
    <x v="0"/>
    <x v="0"/>
    <n v="4"/>
    <x v="112"/>
    <x v="0"/>
    <x v="0"/>
    <n v="2.2200000000000002"/>
    <n v="5.2960000000000003"/>
    <n v="5.181"/>
    <n v="0.58899999999999997"/>
    <s v="na"/>
    <m/>
    <m/>
    <m/>
  </r>
  <r>
    <s v="m72"/>
    <x v="1"/>
    <x v="1"/>
    <x v="1"/>
    <n v="4"/>
    <x v="112"/>
    <x v="0"/>
    <x v="0"/>
    <n v="0.69299999999999995"/>
    <s v="na"/>
    <n v="2.2330000000000001"/>
    <n v="0.17299999999999999"/>
    <n v="0.129"/>
    <s v="Pode ter trocado de lugar"/>
    <m/>
    <m/>
  </r>
  <r>
    <s v="m73"/>
    <x v="1"/>
    <x v="1"/>
    <x v="2"/>
    <n v="4"/>
    <x v="112"/>
    <x v="0"/>
    <x v="0"/>
    <n v="0.72599999999999998"/>
    <n v="2.3929999999999998"/>
    <n v="2.3650000000000002"/>
    <n v="0.218"/>
    <n v="0.113"/>
    <m/>
    <m/>
    <m/>
  </r>
  <r>
    <s v="f117"/>
    <x v="1"/>
    <x v="0"/>
    <x v="0"/>
    <n v="1"/>
    <x v="113"/>
    <x v="0"/>
    <x v="0"/>
    <n v="2.2959999999999998"/>
    <n v="4.681"/>
    <n v="4.681"/>
    <n v="0.51700000000000002"/>
    <n v="0.47"/>
    <m/>
    <m/>
    <m/>
  </r>
  <r>
    <s v="f118"/>
    <x v="1"/>
    <x v="0"/>
    <x v="0"/>
    <n v="4"/>
    <x v="114"/>
    <x v="0"/>
    <x v="0"/>
    <n v="2.0329999999999999"/>
    <n v="5.0179999999999998"/>
    <n v="4.9740000000000002"/>
    <n v="0.52100000000000002"/>
    <n v="0.372"/>
    <m/>
    <m/>
    <m/>
  </r>
  <r>
    <s v="f119"/>
    <x v="1"/>
    <x v="0"/>
    <x v="0"/>
    <n v="2"/>
    <x v="115"/>
    <x v="0"/>
    <x v="0"/>
    <n v="2.4750000000000001"/>
    <n v="4.9539999999999997"/>
    <n v="4.9160000000000004"/>
    <n v="0.48699999999999999"/>
    <n v="0.621"/>
    <m/>
    <m/>
    <m/>
  </r>
  <r>
    <s v="m74"/>
    <x v="1"/>
    <x v="1"/>
    <x v="1"/>
    <n v="2"/>
    <x v="115"/>
    <x v="0"/>
    <x v="0"/>
    <n v="0.59799999999999998"/>
    <n v="1.99"/>
    <n v="1.851"/>
    <n v="0.17299999999999999"/>
    <n v="0.125"/>
    <m/>
    <m/>
    <m/>
  </r>
  <r>
    <s v="f120"/>
    <x v="1"/>
    <x v="0"/>
    <x v="0"/>
    <n v="2"/>
    <x v="116"/>
    <x v="0"/>
    <x v="0"/>
    <n v="2.0840000000000001"/>
    <n v="4.5750000000000002"/>
    <n v="4.5659999999999998"/>
    <n v="0.42699999999999999"/>
    <n v="0.60599999999999998"/>
    <m/>
    <m/>
    <m/>
  </r>
  <r>
    <s v="m75"/>
    <x v="1"/>
    <x v="1"/>
    <x v="1"/>
    <n v="2"/>
    <x v="116"/>
    <x v="0"/>
    <x v="0"/>
    <n v="0.76800000000000002"/>
    <n v="2.4430000000000001"/>
    <n v="2.4409999999999998"/>
    <n v="0.189"/>
    <n v="0.123"/>
    <m/>
    <m/>
    <m/>
  </r>
  <r>
    <s v="f121"/>
    <x v="1"/>
    <x v="0"/>
    <x v="0"/>
    <n v="7"/>
    <x v="117"/>
    <x v="0"/>
    <x v="0"/>
    <n v="2.0329999999999999"/>
    <n v="4.6130000000000004"/>
    <n v="4.524"/>
    <n v="0.46"/>
    <n v="0.45100000000000001"/>
    <m/>
    <m/>
    <m/>
  </r>
  <r>
    <s v="m76"/>
    <x v="1"/>
    <x v="1"/>
    <x v="1"/>
    <n v="7"/>
    <x v="117"/>
    <x v="0"/>
    <x v="0"/>
    <n v="0.72699999999999998"/>
    <n v="2.4969999999999999"/>
    <n v="2.4140000000000001"/>
    <n v="0.22500000000000001"/>
    <n v="0.14599999999999999"/>
    <m/>
    <m/>
    <m/>
  </r>
  <r>
    <s v="f122"/>
    <x v="1"/>
    <x v="0"/>
    <x v="0"/>
    <n v="7"/>
    <x v="118"/>
    <x v="0"/>
    <x v="0"/>
    <n v="2.2160000000000002"/>
    <n v="5.0540000000000003"/>
    <n v="5.0759999999999996"/>
    <n v="0.53500000000000003"/>
    <n v="0.54700000000000004"/>
    <m/>
    <m/>
    <m/>
  </r>
  <r>
    <s v="m77"/>
    <x v="1"/>
    <x v="1"/>
    <x v="1"/>
    <n v="7"/>
    <x v="118"/>
    <x v="0"/>
    <x v="0"/>
    <n v="0.60799999999999998"/>
    <n v="1.857"/>
    <n v="2.1579999999999999"/>
    <n v="0.19800000000000001"/>
    <n v="0.14299999999999999"/>
    <m/>
    <m/>
    <m/>
  </r>
  <r>
    <s v="m78"/>
    <x v="1"/>
    <x v="1"/>
    <x v="2"/>
    <n v="7"/>
    <x v="118"/>
    <x v="0"/>
    <x v="0"/>
    <n v="0.498"/>
    <n v="1.58"/>
    <n v="1.5660000000000001"/>
    <n v="0.14499999999999999"/>
    <n v="0.10299999999999999"/>
    <m/>
    <m/>
    <m/>
  </r>
  <r>
    <s v="f123"/>
    <x v="1"/>
    <x v="0"/>
    <x v="0"/>
    <n v="6"/>
    <x v="119"/>
    <x v="0"/>
    <x v="0"/>
    <n v="2.355"/>
    <n v="5.16"/>
    <n v="5.0839999999999996"/>
    <n v="0.55400000000000005"/>
    <n v="0.61499999999999999"/>
    <m/>
    <m/>
    <m/>
  </r>
  <r>
    <s v="m79"/>
    <x v="1"/>
    <x v="1"/>
    <x v="1"/>
    <n v="6"/>
    <x v="119"/>
    <x v="0"/>
    <x v="0"/>
    <n v="0.77600000000000002"/>
    <n v="2.8130000000000002"/>
    <n v="2.944"/>
    <n v="0.20599999999999999"/>
    <n v="0.15"/>
    <m/>
    <m/>
    <m/>
  </r>
  <r>
    <s v="f124"/>
    <x v="1"/>
    <x v="0"/>
    <x v="0"/>
    <n v="3"/>
    <x v="120"/>
    <x v="0"/>
    <x v="0"/>
    <n v="1.996"/>
    <n v="4.2640000000000002"/>
    <n v="4.17"/>
    <n v="0.48"/>
    <n v="0.41699999999999998"/>
    <m/>
    <m/>
    <m/>
  </r>
  <r>
    <s v="m80"/>
    <x v="1"/>
    <x v="1"/>
    <x v="1"/>
    <n v="3"/>
    <x v="120"/>
    <x v="0"/>
    <x v="0"/>
    <n v="0.68"/>
    <s v="na"/>
    <n v="2.5609999999999999"/>
    <n v="0.182"/>
    <n v="9.8000000000000004E-2"/>
    <m/>
    <m/>
    <m/>
  </r>
  <r>
    <s v="f125"/>
    <x v="1"/>
    <x v="0"/>
    <x v="0"/>
    <n v="3"/>
    <x v="121"/>
    <x v="0"/>
    <x v="0"/>
    <n v="2.2290000000000001"/>
    <n v="4.3360000000000003"/>
    <n v="4.1079999999999997"/>
    <n v="0.49299999999999999"/>
    <n v="0.63900000000000001"/>
    <m/>
    <m/>
    <m/>
  </r>
  <r>
    <s v="m81"/>
    <x v="1"/>
    <x v="1"/>
    <x v="1"/>
    <n v="3"/>
    <x v="121"/>
    <x v="0"/>
    <x v="0"/>
    <n v="0.83899999999999997"/>
    <s v="na"/>
    <n v="2.7749999999999999"/>
    <n v="0.221"/>
    <n v="0.16800000000000001"/>
    <m/>
    <m/>
    <m/>
  </r>
  <r>
    <s v="m82"/>
    <x v="1"/>
    <x v="1"/>
    <x v="2"/>
    <n v="3"/>
    <x v="121"/>
    <x v="0"/>
    <x v="0"/>
    <n v="0.64300000000000002"/>
    <n v="2.5430000000000001"/>
    <s v="na"/>
    <n v="0.189"/>
    <n v="0.13700000000000001"/>
    <m/>
    <m/>
    <m/>
  </r>
  <r>
    <s v="f126"/>
    <x v="1"/>
    <x v="0"/>
    <x v="0"/>
    <n v="3"/>
    <x v="122"/>
    <x v="0"/>
    <x v="0"/>
    <n v="2.0499999999999998"/>
    <n v="4.4550000000000001"/>
    <n v="4.3949999999999996"/>
    <n v="0.47799999999999998"/>
    <n v="0.47799999999999998"/>
    <m/>
    <m/>
    <m/>
  </r>
  <r>
    <s v="m83"/>
    <x v="1"/>
    <x v="1"/>
    <x v="1"/>
    <n v="3"/>
    <x v="122"/>
    <x v="0"/>
    <x v="0"/>
    <n v="0.56000000000000005"/>
    <s v="na"/>
    <n v="2.226"/>
    <n v="0.158"/>
    <n v="0.109"/>
    <m/>
    <m/>
    <m/>
  </r>
  <r>
    <s v="f217"/>
    <x v="1"/>
    <x v="0"/>
    <x v="0"/>
    <n v="3"/>
    <x v="123"/>
    <x v="0"/>
    <x v="0"/>
    <n v="2.278"/>
    <n v="4.6929999999999996"/>
    <n v="4.5590000000000002"/>
    <n v="0.47899999999999998"/>
    <n v="0.624"/>
    <m/>
    <m/>
    <m/>
  </r>
  <r>
    <s v="m84"/>
    <x v="1"/>
    <x v="1"/>
    <x v="1"/>
    <n v="3"/>
    <x v="123"/>
    <x v="0"/>
    <x v="0"/>
    <n v="0.77700000000000002"/>
    <s v="na"/>
    <n v="2.7050000000000001"/>
    <n v="0.19700000000000001"/>
    <n v="0.14899999999999999"/>
    <m/>
    <m/>
    <m/>
  </r>
  <r>
    <s v="f129"/>
    <x v="1"/>
    <x v="0"/>
    <x v="0"/>
    <n v="3"/>
    <x v="124"/>
    <x v="0"/>
    <x v="0"/>
    <n v="2.1509999999999998"/>
    <n v="5.1360000000000001"/>
    <n v="5.1079999999999997"/>
    <n v="0.51300000000000001"/>
    <n v="0.48799999999999999"/>
    <m/>
    <m/>
    <m/>
  </r>
  <r>
    <s v="m85"/>
    <x v="1"/>
    <x v="1"/>
    <x v="1"/>
    <n v="3"/>
    <x v="124"/>
    <x v="0"/>
    <x v="0"/>
    <n v="0.68500000000000005"/>
    <n v="2.5"/>
    <s v="na"/>
    <n v="0.17499999999999999"/>
    <n v="0.11600000000000001"/>
    <m/>
    <m/>
    <m/>
  </r>
  <r>
    <s v="f130"/>
    <x v="1"/>
    <x v="0"/>
    <x v="0"/>
    <n v="3"/>
    <x v="125"/>
    <x v="0"/>
    <x v="0"/>
    <n v="1.829"/>
    <n v="4.5970000000000004"/>
    <n v="4.46"/>
    <n v="0.49299999999999999"/>
    <n v="0.38200000000000001"/>
    <m/>
    <m/>
    <m/>
  </r>
  <r>
    <s v="f131"/>
    <x v="1"/>
    <x v="0"/>
    <x v="0"/>
    <n v="3"/>
    <x v="126"/>
    <x v="0"/>
    <x v="0"/>
    <n v="2.6819999999999999"/>
    <n v="5.149"/>
    <s v="na"/>
    <n v="0.50800000000000001"/>
    <n v="0.63900000000000001"/>
    <m/>
    <m/>
    <m/>
  </r>
  <r>
    <s v="m86"/>
    <x v="1"/>
    <x v="1"/>
    <x v="1"/>
    <n v="3"/>
    <x v="126"/>
    <x v="0"/>
    <x v="0"/>
    <n v="0.75800000000000001"/>
    <n v="2.613"/>
    <n v="2.581"/>
    <n v="0.23"/>
    <n v="0.157"/>
    <m/>
    <m/>
    <m/>
  </r>
  <r>
    <s v="f132"/>
    <x v="1"/>
    <x v="0"/>
    <x v="0"/>
    <n v="3"/>
    <x v="127"/>
    <x v="0"/>
    <x v="0"/>
    <n v="2.0859999999999999"/>
    <s v="na"/>
    <n v="4.1619999999999999"/>
    <n v="0.47099999999999997"/>
    <n v="0.45400000000000001"/>
    <s v="Possui perna esquerda mas na foto não deu pra medir"/>
    <m/>
    <m/>
  </r>
  <r>
    <s v="m87"/>
    <x v="1"/>
    <x v="1"/>
    <x v="1"/>
    <n v="3"/>
    <x v="127"/>
    <x v="0"/>
    <x v="0"/>
    <n v="0.65800000000000003"/>
    <n v="2.1859999999999999"/>
    <n v="2.16"/>
    <n v="0.17699999999999999"/>
    <n v="0.12"/>
    <m/>
    <m/>
    <m/>
  </r>
  <r>
    <s v="f133"/>
    <x v="1"/>
    <x v="0"/>
    <x v="0"/>
    <n v="1"/>
    <x v="128"/>
    <x v="0"/>
    <x v="0"/>
    <n v="2.2210000000000001"/>
    <n v="4.194"/>
    <n v="4.1349999999999998"/>
    <n v="0.47299999999999998"/>
    <n v="0.51300000000000001"/>
    <m/>
    <m/>
    <m/>
  </r>
  <r>
    <s v="m88"/>
    <x v="1"/>
    <x v="1"/>
    <x v="1"/>
    <n v="1"/>
    <x v="128"/>
    <x v="0"/>
    <x v="0"/>
    <n v="0.85599999999999998"/>
    <n v="3.0009999999999999"/>
    <n v="2.6259999999999999"/>
    <n v="0.224"/>
    <n v="0.128"/>
    <m/>
    <m/>
    <m/>
  </r>
  <r>
    <s v="f134"/>
    <x v="1"/>
    <x v="0"/>
    <x v="0"/>
    <n v="5"/>
    <x v="129"/>
    <x v="1"/>
    <x v="12"/>
    <n v="2.4460000000000002"/>
    <n v="4.5789999999999997"/>
    <n v="4.7039999999999997"/>
    <n v="0.53300000000000003"/>
    <n v="0.747"/>
    <m/>
    <m/>
    <m/>
  </r>
  <r>
    <s v="m89"/>
    <x v="1"/>
    <x v="1"/>
    <x v="1"/>
    <n v="5"/>
    <x v="129"/>
    <x v="1"/>
    <x v="12"/>
    <n v="0.63800000000000001"/>
    <n v="2.1859999999999999"/>
    <n v="2.214"/>
    <n v="0.17499999999999999"/>
    <n v="0.126"/>
    <m/>
    <m/>
    <m/>
  </r>
  <r>
    <s v="f135"/>
    <x v="1"/>
    <x v="0"/>
    <x v="0"/>
    <n v="5"/>
    <x v="130"/>
    <x v="1"/>
    <x v="12"/>
    <n v="2.3450000000000002"/>
    <n v="4.3559999999999999"/>
    <n v="4.5279999999999996"/>
    <n v="0.505"/>
    <n v="0.65100000000000002"/>
    <m/>
    <m/>
    <m/>
  </r>
  <r>
    <s v="m90"/>
    <x v="1"/>
    <x v="1"/>
    <x v="1"/>
    <n v="5"/>
    <x v="130"/>
    <x v="1"/>
    <x v="12"/>
    <n v="0.78"/>
    <n v="2.573"/>
    <n v="2.516"/>
    <n v="0.21"/>
    <n v="0.152"/>
    <m/>
    <m/>
    <m/>
  </r>
  <r>
    <s v="f136"/>
    <x v="1"/>
    <x v="0"/>
    <x v="0"/>
    <n v="5"/>
    <x v="131"/>
    <x v="1"/>
    <x v="12"/>
    <n v="1.982"/>
    <n v="4.5529999999999999"/>
    <n v="4.3879999999999999"/>
    <n v="0.47299999999999998"/>
    <n v="0.4279999999999999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s v="f01"/>
    <d v="2024-04-19T00:00:00"/>
    <n v="1"/>
    <d v="1899-12-30T14:00:00"/>
    <s v="17:30-18:50"/>
    <m/>
    <x v="0"/>
    <x v="0"/>
    <n v="1"/>
    <n v="1"/>
    <s v="s"/>
    <s v="na"/>
    <n v="0"/>
    <n v="0"/>
    <s v="madura"/>
    <s v="5580-5581"/>
    <n v="2.6789999999999998"/>
    <n v="5.4489999999999998"/>
    <n v="5.5179999999999998"/>
    <n v="0.59299999999999997"/>
    <n v="0.78100000000000003"/>
    <m/>
    <s v="Pouco gelo, caixa de isopor quente"/>
    <m/>
  </r>
  <r>
    <s v="m01"/>
    <d v="2024-04-19T00:00:00"/>
    <n v="1"/>
    <d v="1899-12-30T14:00:00"/>
    <s v="17:30-18:50"/>
    <m/>
    <x v="1"/>
    <x v="1"/>
    <n v="1"/>
    <n v="1"/>
    <s v="s"/>
    <s v="na"/>
    <n v="0"/>
    <n v="0"/>
    <s v="na"/>
    <n v="5640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d v="2024-04-19T00:00:00"/>
    <n v="1"/>
    <d v="1899-12-30T14:00:00"/>
    <s v="17:30-18:50"/>
    <m/>
    <x v="0"/>
    <x v="0"/>
    <n v="1"/>
    <n v="2"/>
    <s v="s"/>
    <s v="na"/>
    <n v="0"/>
    <n v="0"/>
    <s v="madura"/>
    <s v="5574-5575"/>
    <n v="2.2909999999999999"/>
    <s v="na"/>
    <n v="5.65"/>
    <n v="0.60599999999999998"/>
    <n v="0.498"/>
    <m/>
    <s v="Pouco gelo, caixa de isopor quente"/>
    <m/>
  </r>
  <r>
    <s v="m02"/>
    <d v="2024-04-19T00:00:00"/>
    <n v="1"/>
    <d v="1899-12-30T14:00:00"/>
    <s v="17:30-18:50"/>
    <m/>
    <x v="1"/>
    <x v="1"/>
    <n v="1"/>
    <n v="3"/>
    <s v="a"/>
    <n v="1"/>
    <n v="0"/>
    <n v="0"/>
    <s v="na"/>
    <s v="5638-5639"/>
    <n v="0.59099999999999997"/>
    <n v="1.579"/>
    <n v="1.8240000000000001"/>
    <n v="0.17699999999999999"/>
    <n v="0.112"/>
    <m/>
    <s v="Pouco gelo, caixa de isopor quente"/>
    <m/>
  </r>
  <r>
    <s v="f03"/>
    <d v="2024-04-19T00:00:00"/>
    <n v="1"/>
    <d v="1899-12-30T14:10:00"/>
    <s v="17:30-18:50"/>
    <m/>
    <x v="0"/>
    <x v="0"/>
    <n v="1"/>
    <n v="3"/>
    <s v="a"/>
    <n v="1"/>
    <n v="0"/>
    <n v="0"/>
    <s v="madura"/>
    <s v="5570-5571"/>
    <n v="1.992"/>
    <n v="5.0049999999999999"/>
    <n v="4.8440000000000003"/>
    <n v="0.49299999999999999"/>
    <n v="0.46600000000000003"/>
    <m/>
    <s v="Pouco gelo, caixa de isopor quente"/>
    <m/>
  </r>
  <r>
    <s v="f04"/>
    <d v="2024-04-19T00:00:00"/>
    <n v="1"/>
    <d v="1899-12-30T14:10:00"/>
    <s v="17:30-18:50"/>
    <m/>
    <x v="0"/>
    <x v="0"/>
    <n v="1"/>
    <n v="4"/>
    <s v="a"/>
    <n v="1"/>
    <n v="0"/>
    <n v="0"/>
    <s v="madura"/>
    <s v="5468-5511"/>
    <n v="2.0779999999999998"/>
    <s v="na"/>
    <n v="4.665"/>
    <n v="0.51700000000000002"/>
    <n v="0.55000000000000004"/>
    <m/>
    <s v="Pouco gelo, caixa de isopor quente"/>
    <m/>
  </r>
  <r>
    <s v="f05"/>
    <d v="2024-04-19T00:00:00"/>
    <n v="1"/>
    <d v="1899-12-30T14:10:00"/>
    <s v="17:30-18:50"/>
    <m/>
    <x v="0"/>
    <x v="0"/>
    <n v="1"/>
    <n v="5"/>
    <s v="a"/>
    <n v="1"/>
    <n v="0"/>
    <n v="0"/>
    <s v="madura"/>
    <s v="5568-5569"/>
    <n v="2.69"/>
    <n v="5.4349999999999996"/>
    <n v="5.3010000000000002"/>
    <n v="0.65"/>
    <n v="0.626"/>
    <m/>
    <s v="Pouco gelo, caixa de isopor quente"/>
    <m/>
  </r>
  <r>
    <s v="f06"/>
    <d v="2024-04-19T00:00:00"/>
    <n v="1"/>
    <d v="1899-12-30T14:10:00"/>
    <s v="17:30-18:50"/>
    <m/>
    <x v="0"/>
    <x v="0"/>
    <n v="1"/>
    <n v="6"/>
    <s v="a"/>
    <n v="1"/>
    <n v="0"/>
    <n v="0"/>
    <s v="madura"/>
    <s v="5600-5601"/>
    <n v="2.0910000000000002"/>
    <n v="3.8889999999999998"/>
    <n v="3.883"/>
    <n v="0.44500000000000001"/>
    <n v="0.505"/>
    <s v="Perdeu a perna durante o manejo"/>
    <s v="Pouco gelo, caixa de isopor quente"/>
    <m/>
  </r>
  <r>
    <s v="f07"/>
    <d v="2024-04-19T00:00:00"/>
    <n v="1"/>
    <d v="1899-12-30T14:10:00"/>
    <s v="17:30-18:50"/>
    <m/>
    <x v="0"/>
    <x v="0"/>
    <n v="1"/>
    <n v="7"/>
    <s v="a"/>
    <n v="1"/>
    <n v="0"/>
    <n v="2"/>
    <s v="madura"/>
    <s v="5611-5612"/>
    <n v="2.2930000000000001"/>
    <s v="na"/>
    <n v="5.4340000000000002"/>
    <n v="0.58899999999999997"/>
    <n v="0.496"/>
    <m/>
    <s v="Pouco gelo, caixa de isopor quente"/>
    <m/>
  </r>
  <r>
    <s v="f08"/>
    <d v="2024-04-19T00:00:00"/>
    <n v="1"/>
    <d v="1899-12-30T14:27:00"/>
    <s v="17:30-18:50"/>
    <m/>
    <x v="0"/>
    <x v="0"/>
    <n v="1"/>
    <n v="8"/>
    <s v="a"/>
    <n v="1"/>
    <n v="0"/>
    <n v="0"/>
    <s v="madura"/>
    <s v="5594-5595"/>
    <n v="2.3580000000000001"/>
    <n v="6.01"/>
    <n v="5.8390000000000004"/>
    <n v="0.64100000000000001"/>
    <n v="0.51"/>
    <m/>
    <s v="Pouco gelo, caixa de isopor quente"/>
    <m/>
  </r>
  <r>
    <s v="f09"/>
    <d v="2024-04-19T00:00:00"/>
    <n v="1"/>
    <d v="1899-12-30T14:31:00"/>
    <s v="17:30-18:50"/>
    <m/>
    <x v="0"/>
    <x v="0"/>
    <n v="1"/>
    <n v="9"/>
    <s v="s"/>
    <s v="na"/>
    <n v="0"/>
    <n v="0"/>
    <s v="madura"/>
    <s v="5481-5498"/>
    <n v="2.1059999999999999"/>
    <n v="4.8659999999999997"/>
    <n v="4.6760000000000002"/>
    <n v="0.495"/>
    <n v="0.57799999999999996"/>
    <m/>
    <s v="Pouco gelo, caixa de isopor quente"/>
    <s v="Trocou de pote"/>
  </r>
  <r>
    <s v="m03"/>
    <d v="2024-04-19T00:00:00"/>
    <n v="1"/>
    <d v="1899-12-30T14:45:00"/>
    <s v="17:30-18:50"/>
    <m/>
    <x v="1"/>
    <x v="1"/>
    <n v="1"/>
    <n v="10"/>
    <s v="s"/>
    <s v="na"/>
    <n v="0"/>
    <n v="0"/>
    <s v="na"/>
    <n v="5641"/>
    <n v="0.55700000000000005"/>
    <s v="na"/>
    <n v="1.8979999999999999"/>
    <n v="0.186"/>
    <n v="0.109"/>
    <m/>
    <s v="Pouco gelo, caixa de isopor quente"/>
    <s v="sem a perna esquerda"/>
  </r>
  <r>
    <s v="m04"/>
    <d v="2024-04-19T00:00:00"/>
    <n v="1"/>
    <d v="1899-12-30T14:45:00"/>
    <s v="17:30-18:50"/>
    <m/>
    <x v="2"/>
    <x v="2"/>
    <n v="1"/>
    <n v="10"/>
    <s v="s"/>
    <s v="na"/>
    <n v="0"/>
    <n v="0"/>
    <s v="na"/>
    <s v="na"/>
    <s v="na"/>
    <s v="na"/>
    <s v="na"/>
    <s v="na"/>
    <s v="na"/>
    <s v="conferir se m ou E (acho que é um ectoparasita)"/>
    <s v="Pouco gelo, caixa de isopor quente"/>
    <m/>
  </r>
  <r>
    <s v="f10"/>
    <d v="2024-04-19T00:00:00"/>
    <n v="1"/>
    <d v="1899-12-30T14:45:00"/>
    <s v="17:30-18:50"/>
    <m/>
    <x v="0"/>
    <x v="0"/>
    <n v="1"/>
    <n v="10"/>
    <s v="s"/>
    <s v="na"/>
    <n v="0"/>
    <n v="0"/>
    <s v="madura"/>
    <s v="5602-5604"/>
    <n v="2.2690000000000001"/>
    <n v="4.9130000000000003"/>
    <n v="5.0620000000000003"/>
    <n v="0.54500000000000004"/>
    <n v="0.59099999999999997"/>
    <m/>
    <s v="Pouco gelo, caixa de isopor quente"/>
    <m/>
  </r>
  <r>
    <s v="m05"/>
    <d v="2024-04-19T00:00:00"/>
    <n v="1"/>
    <d v="1899-12-30T14:56:00"/>
    <s v="17:30-18:50"/>
    <m/>
    <x v="1"/>
    <x v="1"/>
    <n v="1"/>
    <n v="11"/>
    <s v="s"/>
    <s v="na"/>
    <n v="0"/>
    <n v="0"/>
    <s v="na"/>
    <n v="5637"/>
    <n v="0.88800000000000001"/>
    <n v="3.101"/>
    <s v="na"/>
    <n v="0.23400000000000001"/>
    <n v="0.17"/>
    <m/>
    <s v="Pouco gelo, caixa de isopor quente"/>
    <s v="sem perna direita"/>
  </r>
  <r>
    <s v="f11"/>
    <d v="2024-04-19T00:00:00"/>
    <n v="1"/>
    <d v="1899-12-30T14:56:00"/>
    <s v="17:30-18:50"/>
    <m/>
    <x v="0"/>
    <x v="0"/>
    <n v="1"/>
    <n v="11"/>
    <s v="s"/>
    <s v="na"/>
    <n v="0"/>
    <n v="0"/>
    <s v="madura"/>
    <s v="5590-5591"/>
    <n v="2.7069999999999999"/>
    <n v="5.234"/>
    <n v="4.9790000000000001"/>
    <n v="0.60699999999999998"/>
    <n v="0.73899999999999999"/>
    <m/>
    <s v="Pouco gelo, caixa de isopor quente"/>
    <m/>
  </r>
  <r>
    <s v="m06"/>
    <d v="2024-04-19T00:00:00"/>
    <n v="1"/>
    <d v="1899-12-30T15:03:00"/>
    <s v="17:30-18:50"/>
    <m/>
    <x v="1"/>
    <x v="2"/>
    <n v="1"/>
    <n v="12"/>
    <s v="s"/>
    <s v="na"/>
    <n v="0"/>
    <n v="3"/>
    <s v="na"/>
    <n v="5642"/>
    <n v="0.59299999999999997"/>
    <s v="na"/>
    <s v="na"/>
    <n v="0.18099999999999999"/>
    <n v="0.109"/>
    <m/>
    <s v="Pouco gelo, caixa de isopor quente"/>
    <s v="duas pernas dianteiras ausentes"/>
  </r>
  <r>
    <s v="f12"/>
    <d v="2024-04-19T00:00:00"/>
    <n v="1"/>
    <d v="1899-12-30T15:03:00"/>
    <s v="17:30-18:50"/>
    <m/>
    <x v="0"/>
    <x v="0"/>
    <n v="1"/>
    <n v="12"/>
    <s v="s"/>
    <s v="na"/>
    <n v="0"/>
    <n v="3"/>
    <s v="madura"/>
    <s v="5598-5599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d v="2024-04-19T00:00:00"/>
    <n v="1"/>
    <d v="1899-12-30T15:21:00"/>
    <s v="17:30-18:50"/>
    <m/>
    <x v="1"/>
    <x v="1"/>
    <n v="1"/>
    <n v="13"/>
    <s v="s"/>
    <s v="na"/>
    <n v="0"/>
    <n v="1"/>
    <s v="na"/>
    <n v="5643"/>
    <n v="0.65900000000000003"/>
    <n v="2.403"/>
    <s v="na"/>
    <n v="0.19400000000000001"/>
    <n v="0.109"/>
    <m/>
    <s v="Pouco gelo, caixa de isopor quente"/>
    <s v="sem perna direita"/>
  </r>
  <r>
    <s v="f13"/>
    <d v="2024-04-19T00:00:00"/>
    <n v="1"/>
    <d v="1899-12-30T15:21:00"/>
    <s v="17:30-18:50"/>
    <m/>
    <x v="0"/>
    <x v="0"/>
    <n v="1"/>
    <n v="13"/>
    <s v="s"/>
    <s v="na"/>
    <n v="0"/>
    <n v="1"/>
    <s v="madura"/>
    <s v="5592-5593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d v="2024-04-19T00:00:00"/>
    <n v="1"/>
    <d v="1899-12-30T15:43:00"/>
    <s v="17:30-18:50"/>
    <m/>
    <x v="0"/>
    <x v="0"/>
    <n v="2"/>
    <n v="14"/>
    <s v="s"/>
    <s v="na"/>
    <n v="0"/>
    <n v="1"/>
    <s v="madura"/>
    <s v="5512-5513"/>
    <n v="2.4710000000000001"/>
    <s v="na"/>
    <n v="4.9219999999999997"/>
    <n v="0.52600000000000002"/>
    <n v="0.623"/>
    <m/>
    <s v="Pouco gelo, caixa de isopor quente"/>
    <s v="Trocou de pote"/>
  </r>
  <r>
    <s v="m08"/>
    <d v="2024-04-19T00:00:00"/>
    <n v="1"/>
    <d v="1899-12-30T15:43:00"/>
    <s v="17:30-18:50"/>
    <m/>
    <x v="1"/>
    <x v="1"/>
    <n v="2"/>
    <n v="14"/>
    <s v="s"/>
    <s v="na"/>
    <n v="0"/>
    <n v="1"/>
    <s v="na"/>
    <n v="5644"/>
    <n v="0.628"/>
    <s v="na"/>
    <n v="2.0659999999999998"/>
    <n v="0.183"/>
    <n v="0.115"/>
    <m/>
    <s v="Pouco gelo, caixa de isopor quente"/>
    <m/>
  </r>
  <r>
    <s v="f15"/>
    <d v="2024-04-19T00:00:00"/>
    <n v="1"/>
    <d v="1899-12-30T15:43:00"/>
    <s v="17:30-18:50"/>
    <m/>
    <x v="0"/>
    <x v="0"/>
    <n v="2"/>
    <n v="15"/>
    <s v="s"/>
    <s v="na"/>
    <n v="0"/>
    <n v="0"/>
    <s v="madura"/>
    <s v="5518-5519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d v="2024-04-19T00:00:00"/>
    <n v="1"/>
    <d v="1899-12-30T15:53:00"/>
    <s v="17:30-18:50"/>
    <m/>
    <x v="0"/>
    <x v="0"/>
    <n v="2"/>
    <n v="16"/>
    <s v="s"/>
    <s v="na"/>
    <n v="0"/>
    <n v="1"/>
    <s v="madura"/>
    <s v="5566-5567"/>
    <n v="2.456"/>
    <n v="4.423"/>
    <n v="4.8259999999999996"/>
    <n v="0.53200000000000003"/>
    <n v="0.60399999999999998"/>
    <m/>
    <s v="Pouco gelo, caixa de isopor quente"/>
    <m/>
  </r>
  <r>
    <s v="f17"/>
    <d v="2024-04-19T00:00:00"/>
    <n v="1"/>
    <d v="1899-12-30T16:42:00"/>
    <s v="17:30-18:50"/>
    <m/>
    <x v="0"/>
    <x v="0"/>
    <n v="3"/>
    <n v="17"/>
    <s v="a"/>
    <n v="2"/>
    <n v="0"/>
    <n v="0"/>
    <s v="madura"/>
    <s v="5514-5515"/>
    <n v="2.33"/>
    <n v="5.0510000000000002"/>
    <n v="5.0090000000000003"/>
    <n v="0.48399999999999999"/>
    <n v="0.53700000000000003"/>
    <m/>
    <s v="Pouco gelo, caixa de isopor quente"/>
    <s v="Trocou de pote"/>
  </r>
  <r>
    <s v="f18"/>
    <d v="2024-04-19T00:00:00"/>
    <n v="1"/>
    <d v="1899-12-30T16:42:00"/>
    <s v="17:30-18:50"/>
    <m/>
    <x v="0"/>
    <x v="0"/>
    <n v="3"/>
    <n v="18"/>
    <s v="a"/>
    <n v="2"/>
    <n v="0"/>
    <n v="0"/>
    <s v="madura"/>
    <s v="5625-5626"/>
    <n v="1.9410000000000001"/>
    <n v="3.8220000000000001"/>
    <n v="3.79"/>
    <n v="0.38600000000000001"/>
    <n v="0.498"/>
    <m/>
    <s v="Pouco gelo, caixa de isopor quente"/>
    <m/>
  </r>
  <r>
    <s v="m09"/>
    <d v="2024-04-19T00:00:00"/>
    <n v="1"/>
    <d v="1899-12-30T16:42:00"/>
    <s v="17:30-18:50"/>
    <m/>
    <x v="1"/>
    <x v="1"/>
    <n v="3"/>
    <n v="19"/>
    <s v="a"/>
    <n v="2"/>
    <n v="0"/>
    <n v="0"/>
    <s v="na"/>
    <n v="5636"/>
    <n v="0.89900000000000002"/>
    <s v="na"/>
    <n v="3.3969999999999998"/>
    <n v="0.26"/>
    <n v="0.17699999999999999"/>
    <m/>
    <s v="Pouco gelo, caixa de isopor quente"/>
    <s v="sem a perna esquerda"/>
  </r>
  <r>
    <s v="f19"/>
    <d v="2024-04-19T00:00:00"/>
    <n v="1"/>
    <d v="1899-12-30T16:42:00"/>
    <s v="17:30-18:50"/>
    <m/>
    <x v="0"/>
    <x v="0"/>
    <n v="3"/>
    <n v="19"/>
    <s v="a"/>
    <n v="2"/>
    <n v="0"/>
    <n v="0"/>
    <s v="madura"/>
    <s v="5623-5624"/>
    <n v="2.7850000000000001"/>
    <n v="5.3390000000000004"/>
    <n v="5.38"/>
    <n v="0.55900000000000005"/>
    <n v="0.72899999999999998"/>
    <m/>
    <s v="Pouco gelo, caixa de isopor quente"/>
    <m/>
  </r>
  <r>
    <s v="m10"/>
    <d v="2024-04-19T00:00:00"/>
    <n v="1"/>
    <d v="1899-12-30T16:42:00"/>
    <s v="17:30-18:50"/>
    <m/>
    <x v="1"/>
    <x v="1"/>
    <n v="3"/>
    <n v="20"/>
    <s v="a"/>
    <n v="2"/>
    <n v="0"/>
    <n v="0"/>
    <s v="na"/>
    <n v="5645"/>
    <n v="0.54100000000000004"/>
    <n v="1.9450000000000001"/>
    <s v="na"/>
    <n v="0.14499999999999999"/>
    <n v="0.106"/>
    <m/>
    <s v="Pouco gelo, caixa de isopor quente"/>
    <s v="sem perna direita"/>
  </r>
  <r>
    <s v="f20"/>
    <d v="2024-04-19T00:00:00"/>
    <n v="1"/>
    <d v="1899-12-30T16:42:00"/>
    <s v="17:30-18:50"/>
    <m/>
    <x v="0"/>
    <x v="0"/>
    <n v="3"/>
    <n v="20"/>
    <s v="a"/>
    <n v="2"/>
    <n v="0"/>
    <n v="0"/>
    <s v="madura"/>
    <s v="5605-5606"/>
    <n v="2.4089999999999998"/>
    <n v="5.1470000000000002"/>
    <n v="5.282"/>
    <n v="0.57899999999999996"/>
    <n v="0.48799999999999999"/>
    <m/>
    <s v="Pouco gelo, caixa de isopor quente"/>
    <m/>
  </r>
  <r>
    <s v="f21"/>
    <d v="2024-04-19T00:00:00"/>
    <n v="1"/>
    <d v="1899-12-30T16:42:00"/>
    <s v="17:30-18:50"/>
    <m/>
    <x v="0"/>
    <x v="0"/>
    <n v="3"/>
    <n v="21"/>
    <s v="a"/>
    <n v="2"/>
    <n v="0"/>
    <n v="0"/>
    <s v="madura"/>
    <s v="5613-5614"/>
    <n v="2.4359999999999999"/>
    <n v="4.6749999999999998"/>
    <n v="4.68"/>
    <n v="0.495"/>
    <n v="0.63900000000000001"/>
    <m/>
    <s v="Pouco gelo, caixa de isopor quente"/>
    <m/>
  </r>
  <r>
    <s v="f22"/>
    <d v="2024-04-19T00:00:00"/>
    <n v="1"/>
    <d v="1899-12-30T16:42:00"/>
    <s v="17:30-18:50"/>
    <m/>
    <x v="0"/>
    <x v="0"/>
    <n v="3"/>
    <n v="22"/>
    <s v="a"/>
    <n v="2"/>
    <n v="0"/>
    <n v="0"/>
    <s v="madura"/>
    <s v="5546-5547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d v="2024-04-19T00:00:00"/>
    <n v="1"/>
    <d v="1899-12-30T16:42:00"/>
    <s v="17:30-18:50"/>
    <m/>
    <x v="0"/>
    <x v="0"/>
    <n v="3"/>
    <n v="23"/>
    <s v="a"/>
    <n v="2"/>
    <n v="0"/>
    <n v="0"/>
    <s v="madura"/>
    <s v="5615-5616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d v="2024-04-19T00:00:00"/>
    <n v="1"/>
    <d v="1899-12-30T16:42:00"/>
    <s v="17:30-18:50"/>
    <m/>
    <x v="0"/>
    <x v="0"/>
    <n v="3"/>
    <n v="24"/>
    <s v="a"/>
    <n v="2"/>
    <n v="0"/>
    <n v="0"/>
    <s v="madura"/>
    <s v="5537-5538"/>
    <n v="2.1789999999999998"/>
    <s v="na"/>
    <n v="4.6390000000000002"/>
    <n v="0.51300000000000001"/>
    <n v="0.42499999999999999"/>
    <m/>
    <s v="Pouco gelo, caixa de isopor quente"/>
    <m/>
  </r>
  <r>
    <s v="f25"/>
    <d v="2024-04-19T00:00:00"/>
    <n v="1"/>
    <d v="1899-12-30T17:10:00"/>
    <s v="17:30-18:50"/>
    <m/>
    <x v="0"/>
    <x v="0"/>
    <n v="3"/>
    <n v="25"/>
    <s v="a"/>
    <n v="2"/>
    <n v="0"/>
    <n v="0"/>
    <s v="madura"/>
    <s v="5617-5618"/>
    <n v="2.6930000000000001"/>
    <n v="5.7969999999999997"/>
    <s v="na"/>
    <n v="0.58499999999999996"/>
    <n v="0.55100000000000005"/>
    <m/>
    <s v="Pouco gelo, caixa de isopor quente"/>
    <m/>
  </r>
  <r>
    <s v="f26"/>
    <d v="2024-04-19T00:00:00"/>
    <n v="1"/>
    <d v="1899-12-30T17:10:00"/>
    <s v="17:30-18:50"/>
    <m/>
    <x v="0"/>
    <x v="0"/>
    <n v="3"/>
    <n v="26"/>
    <s v="a"/>
    <n v="2"/>
    <n v="0"/>
    <n v="0"/>
    <s v="madura"/>
    <s v="5621-5622"/>
    <n v="2.3929999999999998"/>
    <n v="4.7130000000000001"/>
    <n v="4.6500000000000004"/>
    <n v="0.47899999999999998"/>
    <n v="0.60899999999999999"/>
    <m/>
    <s v="Pouco gelo, caixa de isopor quente"/>
    <m/>
  </r>
  <r>
    <s v="f27"/>
    <d v="2024-04-19T00:00:00"/>
    <n v="1"/>
    <d v="1899-12-30T17:10:00"/>
    <s v="17:30-18:50"/>
    <m/>
    <x v="0"/>
    <x v="0"/>
    <n v="3"/>
    <n v="27"/>
    <s v="a"/>
    <n v="2"/>
    <n v="0"/>
    <n v="0"/>
    <s v="madura"/>
    <s v="5480-5496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d v="2024-04-19T00:00:00"/>
    <n v="1"/>
    <d v="1899-12-30T17:10:00"/>
    <s v="17:30-18:50"/>
    <m/>
    <x v="0"/>
    <x v="0"/>
    <n v="3"/>
    <n v="28"/>
    <s v="a"/>
    <n v="2"/>
    <n v="0"/>
    <n v="0"/>
    <s v="madura"/>
    <s v="5596-5597"/>
    <n v="2.218"/>
    <n v="4.0430000000000001"/>
    <n v="4.57"/>
    <n v="0.49199999999999999"/>
    <n v="0.55300000000000005"/>
    <m/>
    <s v="Pouco gelo, caixa de isopor quente"/>
    <m/>
  </r>
  <r>
    <s v="f29"/>
    <d v="2024-04-19T00:00:00"/>
    <n v="1"/>
    <d v="1899-12-30T17:10:00"/>
    <s v="17:30-18:50"/>
    <m/>
    <x v="0"/>
    <x v="0"/>
    <n v="3"/>
    <n v="29"/>
    <s v="a"/>
    <n v="2"/>
    <n v="0"/>
    <n v="0"/>
    <s v="madura"/>
    <s v="5607-5608"/>
    <n v="2.2509999999999999"/>
    <n v="4.7190000000000003"/>
    <n v="4.7190000000000003"/>
    <n v="0.46400000000000002"/>
    <n v="0.56699999999999995"/>
    <m/>
    <s v="Pouco gelo, caixa de isopor quente"/>
    <m/>
  </r>
  <r>
    <s v="m11"/>
    <d v="2024-04-22T00:00:00"/>
    <n v="1"/>
    <d v="1899-12-30T15:30:00"/>
    <s v="18:00-19:05"/>
    <m/>
    <x v="1"/>
    <x v="1"/>
    <s v="sede"/>
    <n v="30"/>
    <s v="a"/>
    <n v="3"/>
    <n v="0"/>
    <n v="2"/>
    <s v="na"/>
    <n v="5646"/>
    <n v="0.51100000000000001"/>
    <n v="1.613"/>
    <n v="1.7010000000000001"/>
    <n v="0.182"/>
    <n v="0.121"/>
    <m/>
    <m/>
    <m/>
  </r>
  <r>
    <s v="f30"/>
    <d v="2024-04-22T00:00:00"/>
    <n v="1"/>
    <d v="1899-12-30T15:40:00"/>
    <s v="18:00-19:05"/>
    <m/>
    <x v="0"/>
    <x v="0"/>
    <s v="sede"/>
    <n v="30"/>
    <s v="a"/>
    <n v="3"/>
    <n v="0"/>
    <n v="2"/>
    <s v="madura"/>
    <s v="5564-5565"/>
    <n v="2.1240000000000001"/>
    <n v="5.1260000000000003"/>
    <n v="5.1980000000000004"/>
    <n v="0.54"/>
    <n v="0.47199999999999998"/>
    <m/>
    <m/>
    <m/>
  </r>
  <r>
    <s v="f31,5"/>
    <d v="2024-04-22T00:00:00"/>
    <n v="1"/>
    <d v="1899-12-30T15:40:00"/>
    <s v="18:00-19:05"/>
    <m/>
    <x v="3"/>
    <x v="0"/>
    <s v="sede"/>
    <n v="31"/>
    <s v="a"/>
    <n v="3"/>
    <n v="0"/>
    <n v="0"/>
    <s v="madura"/>
    <s v="5627-5628"/>
    <n v="2.3519999999999999"/>
    <n v="5.1859999999999999"/>
    <n v="5.1109999999999998"/>
    <n v="0.55400000000000005"/>
    <n v="0.42399999999999999"/>
    <s v="fêmea estava de maneira periférica na teia e quando se movimentou a outra fêmea apresentou comportamento agressivo"/>
    <m/>
    <m/>
  </r>
  <r>
    <s v="f31"/>
    <d v="2024-04-22T00:00:00"/>
    <n v="1"/>
    <d v="1899-12-30T15:40:00"/>
    <s v="18:00-19:05"/>
    <m/>
    <x v="0"/>
    <x v="0"/>
    <s v="sede"/>
    <n v="31"/>
    <s v="a"/>
    <n v="3"/>
    <n v="0"/>
    <n v="0"/>
    <s v="madura"/>
    <s v="5472-5507"/>
    <n v="2.391"/>
    <n v="5.101"/>
    <n v="5.0190000000000001"/>
    <n v="0.52"/>
    <n v="0.54200000000000004"/>
    <s v="Apresentou comportamento agressivo quando outra fêmea passou pela teia"/>
    <m/>
    <m/>
  </r>
  <r>
    <s v="f32"/>
    <d v="2024-04-22T00:00:00"/>
    <n v="1"/>
    <d v="1899-12-30T15:45:00"/>
    <s v="18:00-19:05"/>
    <m/>
    <x v="0"/>
    <x v="0"/>
    <s v="sede"/>
    <n v="32"/>
    <s v="a"/>
    <n v="3"/>
    <n v="0"/>
    <n v="0"/>
    <s v="madura"/>
    <s v="5548-5549"/>
    <n v="2.6659999999999999"/>
    <n v="4.2110000000000003"/>
    <n v="4.21"/>
    <n v="0.56899999999999995"/>
    <n v="0.55100000000000005"/>
    <m/>
    <m/>
    <s v="Trocou de pote"/>
  </r>
  <r>
    <s v="f33"/>
    <d v="2024-04-22T00:00:00"/>
    <n v="1"/>
    <d v="1899-12-30T16:10:00"/>
    <s v="18:00-19:05"/>
    <m/>
    <x v="0"/>
    <x v="0"/>
    <s v="sede"/>
    <n v="33"/>
    <s v="a"/>
    <n v="3"/>
    <n v="0"/>
    <n v="0"/>
    <s v="madura"/>
    <s v="5582-5583"/>
    <n v="2.1960000000000002"/>
    <n v="4.5979999999999999"/>
    <n v="4.6369999999999996"/>
    <n v="0.48599999999999999"/>
    <n v="0.46400000000000002"/>
    <m/>
    <m/>
    <m/>
  </r>
  <r>
    <s v="f34"/>
    <d v="2024-04-22T00:00:00"/>
    <n v="1"/>
    <d v="1899-12-30T16:10:00"/>
    <s v="18:00-19:05"/>
    <m/>
    <x v="0"/>
    <x v="0"/>
    <s v="sede"/>
    <n v="34"/>
    <s v="a"/>
    <n v="3"/>
    <n v="0"/>
    <n v="0"/>
    <s v="madura"/>
    <s v="5558-5559"/>
    <n v="1.782"/>
    <n v="3.8620000000000001"/>
    <n v="3.8479999999999999"/>
    <n v="0.42499999999999999"/>
    <n v="0.44400000000000001"/>
    <m/>
    <m/>
    <s v="Trocou de pote"/>
  </r>
  <r>
    <s v="f35"/>
    <d v="2024-04-22T00:00:00"/>
    <n v="1"/>
    <d v="1899-12-30T16:10:00"/>
    <s v="18:00-19:05"/>
    <m/>
    <x v="0"/>
    <x v="0"/>
    <s v="sede"/>
    <n v="35"/>
    <s v="a"/>
    <n v="3"/>
    <n v="0"/>
    <n v="0"/>
    <s v="madura"/>
    <s v="5485-5486"/>
    <n v="2.6680000000000001"/>
    <n v="6.0640000000000001"/>
    <n v="6.0629999999999997"/>
    <n v="0.61699999999999999"/>
    <n v="0.48299999999999998"/>
    <m/>
    <m/>
    <s v="Trocou de pote"/>
  </r>
  <r>
    <s v="f36"/>
    <d v="2024-04-22T00:00:00"/>
    <n v="1"/>
    <d v="1899-12-30T16:15:00"/>
    <s v="18:00-19:05"/>
    <m/>
    <x v="0"/>
    <x v="0"/>
    <s v="sede"/>
    <n v="36"/>
    <s v="a"/>
    <n v="3"/>
    <n v="0"/>
    <n v="0"/>
    <s v="madura"/>
    <s v="5520-5521"/>
    <n v="2.2040000000000002"/>
    <n v="4.9630000000000001"/>
    <n v="4.5540000000000003"/>
    <n v="0.55400000000000005"/>
    <n v="0.499"/>
    <m/>
    <m/>
    <s v="Trocou de pote"/>
  </r>
  <r>
    <s v="f37"/>
    <d v="2024-04-22T00:00:00"/>
    <n v="1"/>
    <d v="1899-12-30T16:30:00"/>
    <s v="18:00-19:05"/>
    <m/>
    <x v="0"/>
    <x v="0"/>
    <s v="sede"/>
    <n v="37"/>
    <s v="a"/>
    <n v="3"/>
    <n v="0"/>
    <n v="0"/>
    <s v="madura"/>
    <s v="5619-5620"/>
    <n v="2.7719999999999998"/>
    <n v="5.7229999999999999"/>
    <n v="5.8890000000000002"/>
    <n v="0.59399999999999997"/>
    <n v="0.68400000000000005"/>
    <s v="Apresentava  uma mosca na cabeça que não quis sair "/>
    <m/>
    <m/>
  </r>
  <r>
    <s v="m12"/>
    <d v="2024-04-22T00:00:00"/>
    <n v="1"/>
    <d v="1899-12-30T16:30:00"/>
    <s v="18:00-19:05"/>
    <m/>
    <x v="2"/>
    <x v="1"/>
    <s v="sede"/>
    <m/>
    <s v="a"/>
    <n v="3"/>
    <m/>
    <m/>
    <s v="na"/>
    <n v="5647"/>
    <n v="0.65100000000000002"/>
    <n v="2.3340000000000001"/>
    <n v="2.3380000000000001"/>
    <n v="0.152"/>
    <n v="0.129"/>
    <s v="foi coletado junto com a aranha 37 mas não havia sido identificada a sua posição antes da coleta"/>
    <m/>
    <s v="ficou fora da geladeira"/>
  </r>
  <r>
    <s v="f38"/>
    <d v="2024-04-22T00:00:00"/>
    <n v="1"/>
    <d v="1899-12-30T16:30:00"/>
    <s v="18:00-19:05"/>
    <m/>
    <x v="0"/>
    <x v="0"/>
    <s v="sede"/>
    <n v="38"/>
    <s v="a"/>
    <n v="3"/>
    <n v="0"/>
    <n v="0"/>
    <s v="madura"/>
    <s v="5550-5551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d v="2024-04-22T00:00:00"/>
    <n v="1"/>
    <d v="1899-12-30T16:40:00"/>
    <s v="18:00-19:05"/>
    <m/>
    <x v="0"/>
    <x v="0"/>
    <s v="sede"/>
    <n v="39"/>
    <s v="a"/>
    <n v="3"/>
    <n v="0"/>
    <n v="0"/>
    <s v="madura"/>
    <s v="5588-5589"/>
    <n v="2.367"/>
    <n v="5.3390000000000004"/>
    <n v="5.3070000000000004"/>
    <n v="0.62"/>
    <n v="0.53100000000000003"/>
    <m/>
    <m/>
    <m/>
  </r>
  <r>
    <s v="f40"/>
    <d v="2024-04-22T00:00:00"/>
    <n v="1"/>
    <d v="1899-12-30T16:50:00"/>
    <s v="18:00-19:05"/>
    <m/>
    <x v="0"/>
    <x v="0"/>
    <s v="sede"/>
    <n v="40"/>
    <s v="a"/>
    <n v="3"/>
    <n v="0"/>
    <n v="0"/>
    <s v="madura"/>
    <s v="5516-5517"/>
    <n v="2.3340000000000001"/>
    <n v="5.2560000000000002"/>
    <n v="5.0960000000000001"/>
    <n v="0.47599999999999998"/>
    <n v="0.44800000000000001"/>
    <m/>
    <m/>
    <s v="Trocou de pote"/>
  </r>
  <r>
    <s v="f41"/>
    <d v="2024-04-22T00:00:00"/>
    <n v="1"/>
    <d v="1899-12-30T16:50:00"/>
    <s v="18:00-19:05"/>
    <m/>
    <x v="0"/>
    <x v="0"/>
    <s v="sede"/>
    <n v="41"/>
    <s v="a"/>
    <n v="3"/>
    <n v="0"/>
    <n v="0"/>
    <s v="madura"/>
    <s v="5560-5561"/>
    <n v="2.6349999999999998"/>
    <n v="5.8120000000000003"/>
    <n v="6.0869999999999997"/>
    <n v="0.55700000000000005"/>
    <n v="0.59599999999999997"/>
    <m/>
    <m/>
    <s v="Trocou de pote"/>
  </r>
  <r>
    <s v="f42"/>
    <d v="2024-04-22T00:00:00"/>
    <n v="1"/>
    <d v="1899-12-30T16:50:00"/>
    <s v="18:00-19:05"/>
    <m/>
    <x v="0"/>
    <x v="0"/>
    <s v="sede"/>
    <n v="42"/>
    <s v="a"/>
    <n v="3"/>
    <m/>
    <n v="0"/>
    <s v="madura"/>
    <s v="5479-5497"/>
    <n v="2.5619999999999998"/>
    <n v="5.641"/>
    <n v="5.6849999999999996"/>
    <n v="0.63300000000000001"/>
    <n v="0.46"/>
    <m/>
    <m/>
    <s v="Trocou de pote"/>
  </r>
  <r>
    <s v="f43"/>
    <d v="2024-04-22T00:00:00"/>
    <n v="1"/>
    <d v="1899-12-30T16:50:00"/>
    <s v="18:00-19:05"/>
    <m/>
    <x v="0"/>
    <x v="0"/>
    <s v="sede"/>
    <n v="43"/>
    <s v="a"/>
    <n v="3"/>
    <m/>
    <n v="0"/>
    <s v="madura"/>
    <s v="5609-5610"/>
    <n v="2.508"/>
    <n v="5.0670000000000002"/>
    <n v="5.1760000000000002"/>
    <n v="0.54500000000000004"/>
    <n v="0.61899999999999999"/>
    <m/>
    <m/>
    <m/>
  </r>
  <r>
    <s v="f44"/>
    <d v="2024-04-22T00:00:00"/>
    <n v="1"/>
    <d v="1899-12-30T16:50:00"/>
    <s v="18:00-19:05"/>
    <m/>
    <x v="0"/>
    <x v="0"/>
    <s v="sede"/>
    <n v="44"/>
    <s v="a"/>
    <n v="3"/>
    <m/>
    <n v="0"/>
    <s v="madura"/>
    <s v="5562-5563"/>
    <n v="2.35"/>
    <n v="4.8029999999999999"/>
    <n v="4.8360000000000003"/>
    <n v="0.499"/>
    <n v="0.54400000000000004"/>
    <m/>
    <m/>
    <s v="Trocou de pote"/>
  </r>
  <r>
    <s v="m13"/>
    <d v="2024-04-22T00:00:00"/>
    <n v="1"/>
    <d v="1899-12-30T17:00:00"/>
    <s v="18:00-19:05"/>
    <m/>
    <x v="1"/>
    <x v="1"/>
    <s v="sede"/>
    <n v="45"/>
    <s v="a"/>
    <n v="4"/>
    <n v="0"/>
    <n v="0"/>
    <s v="na"/>
    <n v="5648"/>
    <n v="0.65500000000000003"/>
    <n v="2.1739999999999999"/>
    <s v="na"/>
    <n v="0.17100000000000001"/>
    <n v="0.109"/>
    <m/>
    <m/>
    <s v="sem perna direita"/>
  </r>
  <r>
    <s v="m14"/>
    <d v="2024-04-22T00:00:00"/>
    <n v="1"/>
    <d v="1899-12-30T17:00:00"/>
    <s v="18:00-19:05"/>
    <m/>
    <x v="1"/>
    <x v="2"/>
    <s v="sede"/>
    <n v="45"/>
    <s v="a"/>
    <n v="4"/>
    <n v="0"/>
    <n v="0"/>
    <s v="na"/>
    <n v="5649"/>
    <n v="0.44800000000000001"/>
    <n v="1.5109999999999999"/>
    <n v="1.5009999999999999"/>
    <n v="0.14399999999999999"/>
    <n v="0.10100000000000001"/>
    <m/>
    <m/>
    <m/>
  </r>
  <r>
    <s v="f45"/>
    <d v="2024-04-22T00:00:00"/>
    <n v="1"/>
    <d v="1899-12-30T17:00:00"/>
    <s v="18:00-19:05"/>
    <m/>
    <x v="0"/>
    <x v="0"/>
    <s v="sede"/>
    <n v="45"/>
    <s v="a"/>
    <n v="4"/>
    <n v="0"/>
    <n v="0"/>
    <s v="madura"/>
    <s v="5556-5557"/>
    <n v="1.258"/>
    <n v="3.8069999999999999"/>
    <n v="3.7719999999999998"/>
    <n v="0.35"/>
    <n v="0.28499999999999998"/>
    <m/>
    <m/>
    <s v="Trocou de pote"/>
  </r>
  <r>
    <s v="m15"/>
    <d v="2024-04-22T00:00:00"/>
    <n v="1"/>
    <d v="1899-12-30T17:00:00"/>
    <s v="18:00-19:05"/>
    <m/>
    <x v="1"/>
    <x v="1"/>
    <s v="sede"/>
    <n v="46"/>
    <s v="a"/>
    <n v="4"/>
    <n v="0"/>
    <n v="0"/>
    <s v="na"/>
    <n v="5650"/>
    <n v="0.48799999999999999"/>
    <s v="na"/>
    <n v="1.694"/>
    <n v="0.16700000000000001"/>
    <n v="0.124"/>
    <m/>
    <m/>
    <s v="sem a perna esquerda"/>
  </r>
  <r>
    <s v="f46"/>
    <d v="2024-04-22T00:00:00"/>
    <n v="1"/>
    <d v="1899-12-30T17:00:00"/>
    <s v="18:00-19:05"/>
    <m/>
    <x v="0"/>
    <x v="0"/>
    <s v="sede"/>
    <n v="46"/>
    <s v="a"/>
    <n v="4"/>
    <n v="0"/>
    <n v="0"/>
    <s v="madura"/>
    <s v="5475-5487"/>
    <n v="2.0310000000000001"/>
    <n v="4.4749999999999996"/>
    <n v="4.6239999999999997"/>
    <n v="0.497"/>
    <n v="0.36499999999999999"/>
    <m/>
    <m/>
    <m/>
  </r>
  <r>
    <s v="f47"/>
    <d v="2024-04-22T00:00:00"/>
    <n v="1"/>
    <d v="1899-12-30T17:00:00"/>
    <s v="18:00-19:05"/>
    <m/>
    <x v="0"/>
    <x v="0"/>
    <s v="sede"/>
    <n v="47"/>
    <s v="a"/>
    <n v="4"/>
    <n v="0"/>
    <n v="0"/>
    <s v="madura"/>
    <s v="5579-5578"/>
    <n v="2.3130000000000002"/>
    <n v="4.9610000000000003"/>
    <n v="4.8049999999999997"/>
    <n v="0.54900000000000004"/>
    <n v="0.441"/>
    <m/>
    <m/>
    <m/>
  </r>
  <r>
    <s v="f48"/>
    <d v="2024-04-22T00:00:00"/>
    <n v="1"/>
    <d v="1899-12-30T17:10:00"/>
    <s v="18:00-19:05"/>
    <m/>
    <x v="0"/>
    <x v="0"/>
    <s v="sede"/>
    <n v="48"/>
    <s v="a"/>
    <n v="4"/>
    <n v="0"/>
    <n v="0"/>
    <s v="madura"/>
    <s v="5473-5509"/>
    <n v="2.2690000000000001"/>
    <n v="5.4690000000000003"/>
    <n v="5.5570000000000004"/>
    <n v="0.54300000000000004"/>
    <n v="0.438"/>
    <m/>
    <m/>
    <m/>
  </r>
  <r>
    <s v="f49"/>
    <d v="2024-04-25T00:00:00"/>
    <n v="1"/>
    <d v="1899-12-30T10:10:00"/>
    <s v="12:00-13:00"/>
    <m/>
    <x v="0"/>
    <x v="0"/>
    <n v="1"/>
    <n v="49"/>
    <s v="s"/>
    <s v="na"/>
    <n v="0"/>
    <n v="0"/>
    <s v="madura"/>
    <s v="5467-5508"/>
    <n v="2.698"/>
    <n v="5.9859999999999998"/>
    <n v="5.8159999999999998"/>
    <n v="0.63"/>
    <n v="0.64"/>
    <s v="mesmo local de coleta da teia 1- perdeu a perna durante a foto"/>
    <m/>
    <m/>
  </r>
  <r>
    <s v="f50"/>
    <d v="2024-04-25T00:00:00"/>
    <n v="1"/>
    <d v="1899-12-30T10:20:00"/>
    <s v="12:00-13:00"/>
    <m/>
    <x v="0"/>
    <x v="0"/>
    <n v="1"/>
    <n v="50"/>
    <s v="s"/>
    <s v="na"/>
    <n v="0"/>
    <n v="7"/>
    <s v="madura"/>
    <s v="5482-5501"/>
    <n v="1.9410000000000001"/>
    <n v="4.1319999999999997"/>
    <n v="4.2279999999999998"/>
    <n v="0.46899999999999997"/>
    <n v="0.51200000000000001"/>
    <m/>
    <m/>
    <m/>
  </r>
  <r>
    <s v="f51"/>
    <d v="2024-04-25T00:00:00"/>
    <n v="1"/>
    <d v="1899-12-30T10:35:00"/>
    <s v="12:00-13:00"/>
    <m/>
    <x v="0"/>
    <x v="0"/>
    <n v="4"/>
    <n v="51"/>
    <s v="s"/>
    <s v="na"/>
    <n v="0"/>
    <n v="0"/>
    <s v="madura"/>
    <s v="5470-5504"/>
    <n v="2.2120000000000002"/>
    <n v="4.5819999999999999"/>
    <n v="4.5640000000000001"/>
    <n v="0.45300000000000001"/>
    <n v="0.54700000000000004"/>
    <s v="Alimentou recentemente"/>
    <m/>
    <m/>
  </r>
  <r>
    <s v="m16"/>
    <d v="2024-04-25T00:00:00"/>
    <n v="1"/>
    <d v="1899-12-30T10:35:00"/>
    <s v="12:00-13:00"/>
    <m/>
    <x v="1"/>
    <x v="1"/>
    <n v="4"/>
    <n v="51"/>
    <s v="s"/>
    <s v="na"/>
    <n v="0"/>
    <n v="0"/>
    <s v="na"/>
    <n v="5651"/>
    <n v="0.67"/>
    <n v="2.78"/>
    <n v="2.7149999999999999"/>
    <n v="0.22"/>
    <n v="0.13600000000000001"/>
    <m/>
    <m/>
    <m/>
  </r>
  <r>
    <s v="f52"/>
    <d v="2024-04-25T00:00:00"/>
    <n v="1"/>
    <d v="1899-12-30T10:45:00"/>
    <s v="12:00-13:00"/>
    <m/>
    <x v="0"/>
    <x v="0"/>
    <n v="4"/>
    <n v="52"/>
    <s v="s"/>
    <s v="na"/>
    <n v="0"/>
    <n v="0"/>
    <s v="madura"/>
    <s v="5483-5502"/>
    <n v="2.4849999999999999"/>
    <n v="5.72"/>
    <n v="5.6829999999999998"/>
    <n v="0.59899999999999998"/>
    <n v="0.56000000000000005"/>
    <m/>
    <m/>
    <m/>
  </r>
  <r>
    <s v="m17"/>
    <d v="2024-04-25T00:00:00"/>
    <n v="1"/>
    <d v="1899-12-30T10:45:00"/>
    <s v="12:00-13:00"/>
    <m/>
    <x v="1"/>
    <x v="1"/>
    <n v="4"/>
    <n v="52"/>
    <s v="s"/>
    <s v="na"/>
    <n v="0"/>
    <n v="0"/>
    <s v="na"/>
    <n v="5632"/>
    <n v="0.82399999999999995"/>
    <n v="3.0030000000000001"/>
    <n v="2.9990000000000001"/>
    <n v="0.22500000000000001"/>
    <n v="0.13400000000000001"/>
    <m/>
    <m/>
    <m/>
  </r>
  <r>
    <s v="f53"/>
    <d v="2024-04-25T00:00:00"/>
    <n v="1"/>
    <d v="1899-12-30T10:55:00"/>
    <s v="12:00-13:00"/>
    <m/>
    <x v="0"/>
    <x v="0"/>
    <n v="4"/>
    <n v="53"/>
    <s v="s"/>
    <s v="na"/>
    <n v="0"/>
    <n v="0"/>
    <s v="madura"/>
    <s v="5471-5488"/>
    <n v="2.1789999999999998"/>
    <n v="4.2460000000000004"/>
    <n v="4.1589999999999998"/>
    <n v="0.45800000000000002"/>
    <n v="0.52"/>
    <s v="Alimentou recentemente"/>
    <m/>
    <s v="Trocou de pote"/>
  </r>
  <r>
    <s v="f54"/>
    <d v="2024-04-25T00:00:00"/>
    <n v="1"/>
    <d v="1899-12-30T11:05:00"/>
    <s v="12:00-13:00"/>
    <m/>
    <x v="0"/>
    <x v="0"/>
    <n v="4"/>
    <n v="54"/>
    <s v="s"/>
    <s v="na"/>
    <n v="0"/>
    <n v="1"/>
    <s v="madura"/>
    <s v="5544-5545"/>
    <n v="2.351"/>
    <n v="4.4039999999999999"/>
    <n v="4.5410000000000004"/>
    <n v="0.51900000000000002"/>
    <n v="0.68600000000000005"/>
    <m/>
    <m/>
    <m/>
  </r>
  <r>
    <s v="m18"/>
    <d v="2024-04-25T00:00:00"/>
    <n v="1"/>
    <d v="1899-12-30T11:05:00"/>
    <s v="12:00-13:00"/>
    <m/>
    <x v="1"/>
    <x v="1"/>
    <n v="4"/>
    <n v="54"/>
    <s v="s"/>
    <s v="na"/>
    <n v="0"/>
    <n v="1"/>
    <s v="na"/>
    <n v="5652"/>
    <n v="0.61299999999999999"/>
    <s v="na"/>
    <n v="2.0640000000000001"/>
    <n v="0.18"/>
    <n v="0.129"/>
    <m/>
    <m/>
    <s v="sem a perna esquerda"/>
  </r>
  <r>
    <s v="f55"/>
    <d v="2024-04-25T00:00:00"/>
    <n v="1"/>
    <d v="1899-12-30T11:12:00"/>
    <s v="12:00-13:00"/>
    <m/>
    <x v="0"/>
    <x v="0"/>
    <n v="3"/>
    <n v="55"/>
    <s v="s"/>
    <s v="na"/>
    <n v="0"/>
    <n v="0"/>
    <s v="madura"/>
    <s v="5542-5543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d v="2024-04-25T00:00:00"/>
    <n v="1"/>
    <d v="1899-12-30T11:12:00"/>
    <s v="12:00-13:00"/>
    <m/>
    <x v="1"/>
    <x v="1"/>
    <n v="3"/>
    <n v="55"/>
    <s v="s"/>
    <s v="na"/>
    <n v="0"/>
    <n v="0"/>
    <s v="na"/>
    <n v="5653"/>
    <n v="0.503"/>
    <n v="1.788"/>
    <n v="1.6870000000000001"/>
    <n v="0.154"/>
    <n v="0.111"/>
    <s v="fêmea caiu na vegetação durante a coleta e foi encontrada no mesmo lugar após 1 h"/>
    <m/>
    <m/>
  </r>
  <r>
    <s v="f56"/>
    <d v="2024-04-25T00:00:00"/>
    <n v="1"/>
    <d v="1899-12-30T11:35:00"/>
    <s v="12:00-13:00"/>
    <m/>
    <x v="0"/>
    <x v="0"/>
    <n v="3"/>
    <n v="56"/>
    <s v="s"/>
    <s v="na"/>
    <n v="0"/>
    <n v="3"/>
    <s v="madura"/>
    <s v="5586-5587"/>
    <n v="2.5950000000000002"/>
    <n v="5.0780000000000003"/>
    <n v="5.1479999999999997"/>
    <n v="0.56100000000000005"/>
    <n v="0.64800000000000002"/>
    <m/>
    <m/>
    <m/>
  </r>
  <r>
    <s v="m20"/>
    <d v="2024-04-25T00:00:00"/>
    <n v="1"/>
    <d v="1899-12-30T11:35:00"/>
    <s v="12:00-13:00"/>
    <m/>
    <x v="1"/>
    <x v="1"/>
    <n v="3"/>
    <n v="56"/>
    <s v="s"/>
    <s v="na"/>
    <n v="0"/>
    <n v="3"/>
    <s v="na"/>
    <n v="5634"/>
    <n v="0.79600000000000004"/>
    <n v="2.944"/>
    <n v="2.9510999999999998"/>
    <n v="0.251"/>
    <n v="0.14599999999999999"/>
    <m/>
    <m/>
    <m/>
  </r>
  <r>
    <s v="f57"/>
    <d v="2024-04-25T00:00:00"/>
    <n v="1"/>
    <d v="1899-12-30T11:45:00"/>
    <s v="12:00-13:00"/>
    <m/>
    <x v="0"/>
    <x v="0"/>
    <n v="3"/>
    <n v="57"/>
    <s v="s"/>
    <s v="na"/>
    <n v="0"/>
    <s v="0.1"/>
    <s v="madura"/>
    <s v="5539-5540"/>
    <n v="1.82"/>
    <n v="4.5449999999999999"/>
    <n v="4.4080000000000004"/>
    <n v="0.48199999999999998"/>
    <n v="0.38100000000000001"/>
    <s v="Establimento foi identificado após a manipulação"/>
    <m/>
    <m/>
  </r>
  <r>
    <s v="m21"/>
    <d v="2024-04-25T00:00:00"/>
    <n v="1"/>
    <d v="1899-12-30T11:45:00"/>
    <s v="12:00-13:00"/>
    <m/>
    <x v="1"/>
    <x v="1"/>
    <n v="3"/>
    <n v="57"/>
    <s v="s"/>
    <s v="na"/>
    <n v="0"/>
    <s v="0.1"/>
    <s v="na"/>
    <n v="5631"/>
    <n v="0.69799999999999995"/>
    <n v="2.762"/>
    <s v="na"/>
    <n v="0.21199999999999999"/>
    <n v="0.11899999999999999"/>
    <s v="Establimento foi identificado após a manipulação"/>
    <m/>
    <s v="sem perna direita"/>
  </r>
  <r>
    <s v="f58"/>
    <d v="2024-04-25T00:00:00"/>
    <n v="1"/>
    <d v="1899-12-30T12:05:00"/>
    <s v="12:00-13:00"/>
    <m/>
    <x v="0"/>
    <x v="0"/>
    <n v="3"/>
    <n v="58"/>
    <s v="s"/>
    <s v="na"/>
    <n v="0"/>
    <n v="0"/>
    <s v="madura"/>
    <s v="5533-5534"/>
    <n v="2.423"/>
    <n v="5.024"/>
    <n v="5.2489999999999997"/>
    <n v="0.52600000000000002"/>
    <n v="0.53"/>
    <m/>
    <m/>
    <m/>
  </r>
  <r>
    <s v="m22"/>
    <d v="2024-04-25T00:00:00"/>
    <n v="1"/>
    <d v="1899-12-30T12:05:00"/>
    <s v="12:00-13:00"/>
    <m/>
    <x v="1"/>
    <x v="1"/>
    <n v="3"/>
    <n v="58"/>
    <s v="s"/>
    <s v="na"/>
    <n v="0"/>
    <n v="0"/>
    <s v="na"/>
    <n v="5654"/>
    <n v="0.59699999999999998"/>
    <n v="2.0619999999999998"/>
    <n v="2.137"/>
    <n v="0.183"/>
    <n v="0.13500000000000001"/>
    <m/>
    <m/>
    <m/>
  </r>
  <r>
    <s v="f59"/>
    <d v="2024-04-25T00:00:00"/>
    <n v="1"/>
    <d v="1899-12-30T12:10:00"/>
    <s v="12:00-13:00"/>
    <m/>
    <x v="3"/>
    <x v="0"/>
    <n v="3"/>
    <n v="59"/>
    <s v="s"/>
    <s v="na"/>
    <n v="0"/>
    <n v="0"/>
    <m/>
    <m/>
    <m/>
    <m/>
    <m/>
    <m/>
    <m/>
    <s v="fêmea não coletada"/>
    <m/>
    <m/>
  </r>
  <r>
    <s v="m23"/>
    <d v="2024-04-25T00:00:00"/>
    <n v="1"/>
    <d v="1899-12-30T12:10:00"/>
    <s v="12:00-13:00"/>
    <m/>
    <x v="2"/>
    <x v="1"/>
    <n v="3"/>
    <n v="59"/>
    <s v="s"/>
    <s v="na"/>
    <n v="0"/>
    <n v="0"/>
    <s v="na"/>
    <s v="5629-5630"/>
    <n v="0.50600000000000001"/>
    <n v="1.694"/>
    <n v="1.645"/>
    <n v="0.153"/>
    <n v="0.11"/>
    <s v="fêmea não coletada"/>
    <m/>
    <m/>
  </r>
  <r>
    <s v="f60"/>
    <d v="2024-04-25T00:00:00"/>
    <n v="1"/>
    <d v="1899-12-30T12:18:00"/>
    <s v="12:00-13:00"/>
    <m/>
    <x v="0"/>
    <x v="0"/>
    <n v="3"/>
    <n v="60"/>
    <s v="s"/>
    <s v="na"/>
    <n v="0"/>
    <n v="0"/>
    <s v="madura"/>
    <s v="5476-5500"/>
    <n v="2.3119999999999998"/>
    <s v="na"/>
    <n v="5.1630000000000003"/>
    <n v="0.58899999999999997"/>
    <n v="0.52200000000000002"/>
    <m/>
    <m/>
    <m/>
  </r>
  <r>
    <s v="f61"/>
    <d v="2024-04-30T00:00:00"/>
    <n v="1"/>
    <d v="1899-12-30T10:30:00"/>
    <s v="12:00-12:12"/>
    <m/>
    <x v="0"/>
    <x v="0"/>
    <n v="5"/>
    <n v="61"/>
    <s v="a"/>
    <n v="5"/>
    <n v="0"/>
    <n v="0"/>
    <s v="madura"/>
    <s v="5529-5530"/>
    <n v="2.4780000000000002"/>
    <n v="4.7229999999999999"/>
    <n v="4.8529999999999998"/>
    <n v="0.52"/>
    <n v="0.57399999999999995"/>
    <m/>
    <m/>
    <m/>
  </r>
  <r>
    <s v="m24"/>
    <d v="2024-04-30T00:00:00"/>
    <n v="1"/>
    <d v="1899-12-30T10:30:00"/>
    <s v="12:00-12:12"/>
    <m/>
    <x v="1"/>
    <x v="1"/>
    <n v="5"/>
    <n v="61"/>
    <s v="a"/>
    <n v="5"/>
    <n v="0"/>
    <n v="0"/>
    <s v="na"/>
    <n v="5635"/>
    <n v="0.86"/>
    <n v="2.9169999999999998"/>
    <n v="2.8809999999999998"/>
    <n v="0.26500000000000001"/>
    <n v="0.14899999999999999"/>
    <m/>
    <m/>
    <m/>
  </r>
  <r>
    <s v="f62"/>
    <d v="2024-04-30T00:00:00"/>
    <n v="1"/>
    <d v="1899-12-30T10:30:00"/>
    <s v="12:00-12:12"/>
    <m/>
    <x v="0"/>
    <x v="0"/>
    <n v="5"/>
    <n v="62"/>
    <s v="a"/>
    <n v="5"/>
    <n v="0"/>
    <n v="0"/>
    <s v="madura"/>
    <s v="5552-5553"/>
    <n v="2.242"/>
    <n v="4.8860000000000001"/>
    <n v="4.9160000000000004"/>
    <n v="0.53800000000000003"/>
    <n v="0.35899999999999999"/>
    <m/>
    <m/>
    <s v="Trocou de pote"/>
  </r>
  <r>
    <s v="f63"/>
    <d v="2024-04-30T00:00:00"/>
    <n v="1"/>
    <d v="1899-12-30T10:40:00"/>
    <s v="12:00-12:12"/>
    <m/>
    <x v="0"/>
    <x v="0"/>
    <n v="5"/>
    <n v="63"/>
    <s v="a"/>
    <n v="5"/>
    <n v="0"/>
    <n v="0"/>
    <s v="madura"/>
    <s v="5535-5536"/>
    <n v="1.88"/>
    <n v="4.2080000000000002"/>
    <n v="4.16"/>
    <n v="0.42499999999999999"/>
    <n v="0.439"/>
    <m/>
    <m/>
    <m/>
  </r>
  <r>
    <s v="f64"/>
    <d v="2024-04-30T00:00:00"/>
    <n v="1"/>
    <d v="1899-12-30T10:40:00"/>
    <s v="12:00-12:12"/>
    <m/>
    <x v="0"/>
    <x v="0"/>
    <n v="5"/>
    <n v="64"/>
    <s v="a"/>
    <n v="5"/>
    <n v="0"/>
    <n v="0"/>
    <s v="madura"/>
    <s v="5523-5524"/>
    <n v="2.1429999999999998"/>
    <n v="4.88"/>
    <n v="4.9710000000000001"/>
    <n v="0.49199999999999999"/>
    <n v="0.41899999999999998"/>
    <m/>
    <m/>
    <s v="Trocou de pote"/>
  </r>
  <r>
    <s v="f65"/>
    <d v="2024-04-30T00:00:00"/>
    <n v="1"/>
    <d v="1899-12-30T10:40:00"/>
    <s v="12:00-12:12"/>
    <m/>
    <x v="0"/>
    <x v="0"/>
    <n v="5"/>
    <n v="65"/>
    <s v="a"/>
    <n v="5"/>
    <n v="0"/>
    <n v="0"/>
    <s v="madura"/>
    <s v="5554-5555"/>
    <n v="2.2589999999999999"/>
    <n v="4.452"/>
    <n v="4.431"/>
    <n v="0.47499999999999998"/>
    <n v="0.61199999999999999"/>
    <m/>
    <m/>
    <s v="Trocou de pote"/>
  </r>
  <r>
    <s v="f66"/>
    <d v="2024-05-02T00:00:00"/>
    <n v="1"/>
    <d v="1899-12-30T14:00:00"/>
    <s v="16:30-16:50"/>
    <m/>
    <x v="0"/>
    <x v="0"/>
    <s v="sede"/>
    <n v="66"/>
    <s v="s"/>
    <s v="na"/>
    <n v="0"/>
    <n v="0"/>
    <s v="madura"/>
    <s v="5527-5528"/>
    <n v="2.2130000000000001"/>
    <n v="5.24"/>
    <n v="5.1349999999999998"/>
    <n v="0.51900000000000002"/>
    <n v="0.497"/>
    <m/>
    <m/>
    <m/>
  </r>
  <r>
    <s v="f67"/>
    <d v="2024-05-02T00:00:00"/>
    <n v="1"/>
    <d v="1899-12-30T14:05:00"/>
    <s v="16:30-16:50"/>
    <m/>
    <x v="0"/>
    <x v="0"/>
    <s v="sede"/>
    <n v="67"/>
    <s v="s"/>
    <s v="na"/>
    <n v="0"/>
    <n v="2"/>
    <s v="madura"/>
    <s v="5466-5499"/>
    <n v="2.6419999999999999"/>
    <n v="5.444"/>
    <n v="5.5540000000000003"/>
    <n v="0.56299999999999994"/>
    <n v="0.54900000000000004"/>
    <m/>
    <m/>
    <m/>
  </r>
  <r>
    <s v="f68"/>
    <d v="2024-05-02T00:00:00"/>
    <n v="1"/>
    <d v="1899-12-30T14:12:00"/>
    <s v="16:30-16:50"/>
    <m/>
    <x v="0"/>
    <x v="0"/>
    <n v="6"/>
    <n v="68"/>
    <s v="s"/>
    <s v="na"/>
    <n v="0"/>
    <n v="0"/>
    <s v="madura"/>
    <s v="5474-5506"/>
    <n v="2.4089999999999998"/>
    <n v="4.5590000000000002"/>
    <n v="4.4790000000000001"/>
    <n v="0.45600000000000002"/>
    <n v="0.26700000000000002"/>
    <m/>
    <m/>
    <m/>
  </r>
  <r>
    <s v="f69"/>
    <d v="2024-05-02T00:00:00"/>
    <n v="1"/>
    <d v="1899-12-30T14:20:00"/>
    <s v="16:30-16:50"/>
    <m/>
    <x v="0"/>
    <x v="0"/>
    <n v="6"/>
    <n v="69"/>
    <s v="s"/>
    <s v="na"/>
    <n v="0"/>
    <n v="0"/>
    <s v="madura"/>
    <s v="5584-5585"/>
    <n v="2.363"/>
    <n v="4.6559999999999997"/>
    <n v="4.3819999999999997"/>
    <n v="0.504"/>
    <n v="0.54500000000000004"/>
    <m/>
    <m/>
    <m/>
  </r>
  <r>
    <s v="f70"/>
    <d v="2024-05-02T00:00:00"/>
    <n v="1"/>
    <d v="1899-12-30T14:20:00"/>
    <s v="16:30-16:50"/>
    <m/>
    <x v="0"/>
    <x v="0"/>
    <n v="6"/>
    <n v="70"/>
    <s v="s"/>
    <s v="na"/>
    <n v="0"/>
    <n v="0"/>
    <s v="madura"/>
    <s v="5477-5510"/>
    <n v="2.109"/>
    <n v="4.4950000000000001"/>
    <n v="4.524"/>
    <n v="0.44900000000000001"/>
    <n v="0.377"/>
    <s v="Alimentou recentemente"/>
    <m/>
    <m/>
  </r>
  <r>
    <s v="f71"/>
    <d v="2024-05-02T00:00:00"/>
    <n v="1"/>
    <d v="1899-12-30T14:30:00"/>
    <s v="16:30-16:50"/>
    <m/>
    <x v="0"/>
    <x v="0"/>
    <n v="6"/>
    <n v="71"/>
    <s v="s"/>
    <s v="na"/>
    <n v="0"/>
    <n v="0"/>
    <s v="madura"/>
    <s v="5576-5577"/>
    <n v="2.2679999999999998"/>
    <n v="5.2309999999999999"/>
    <n v="5.2060000000000004"/>
    <n v="0.49299999999999999"/>
    <n v="0.27400000000000002"/>
    <m/>
    <m/>
    <m/>
  </r>
  <r>
    <s v="f72"/>
    <d v="2024-05-02T00:00:00"/>
    <n v="1"/>
    <d v="1899-12-30T14:35:00"/>
    <s v="16:30-16:50"/>
    <m/>
    <x v="0"/>
    <x v="0"/>
    <n v="6"/>
    <n v="72"/>
    <s v="s"/>
    <s v="na"/>
    <n v="0"/>
    <n v="0"/>
    <s v="madura"/>
    <s v="5465-5505"/>
    <n v="2.383"/>
    <n v="5.0860000000000003"/>
    <n v="5.0250000000000004"/>
    <n v="0.57199999999999995"/>
    <n v="0.38400000000000001"/>
    <s v="Apresentou uma bolinha vermelha na cabeça"/>
    <m/>
    <m/>
  </r>
  <r>
    <s v="f73"/>
    <d v="2024-05-02T00:00:00"/>
    <n v="1"/>
    <d v="1899-12-30T14:40:00"/>
    <s v="16:30-16:50"/>
    <m/>
    <x v="0"/>
    <x v="0"/>
    <n v="3"/>
    <n v="73"/>
    <s v="s"/>
    <s v="na"/>
    <n v="0"/>
    <n v="0"/>
    <s v="madura"/>
    <s v="5531-5532"/>
    <n v="2.6859999999999999"/>
    <n v="5.2930000000000001"/>
    <n v="5.3029999999999999"/>
    <n v="0.52200000000000002"/>
    <n v="0.46100000000000002"/>
    <m/>
    <m/>
    <m/>
  </r>
  <r>
    <s v="f74"/>
    <d v="2024-05-02T00:00:00"/>
    <n v="1"/>
    <d v="1899-12-30T15:45:00"/>
    <s v="16:30-16:50"/>
    <m/>
    <x v="0"/>
    <x v="0"/>
    <s v="sede"/>
    <n v="74"/>
    <s v="s"/>
    <s v="na"/>
    <n v="0"/>
    <n v="1"/>
    <s v="madura"/>
    <s v="5469-5503"/>
    <n v="2.0939999999999999"/>
    <n v="4.4509999999999996"/>
    <n v="4.3520000000000003"/>
    <n v="0.47"/>
    <n v="0.438"/>
    <m/>
    <m/>
    <m/>
  </r>
  <r>
    <s v="f75"/>
    <d v="2024-05-02T00:00:00"/>
    <n v="1"/>
    <d v="1899-12-30T15:45:00"/>
    <s v="16:30-16:50"/>
    <m/>
    <x v="0"/>
    <x v="0"/>
    <s v="sede"/>
    <n v="75"/>
    <s v="s"/>
    <s v="na"/>
    <n v="0"/>
    <n v="2"/>
    <s v="madura"/>
    <s v="5572-5573"/>
    <n v="2.097"/>
    <s v="na"/>
    <s v="na"/>
    <n v="0.49299999999999999"/>
    <n v="0.33900000000000002"/>
    <m/>
    <m/>
    <m/>
  </r>
  <r>
    <s v="f76"/>
    <d v="2024-04-25T00:00:00"/>
    <n v="1"/>
    <d v="1899-12-30T10:00:00"/>
    <s v="12:00-13:00"/>
    <m/>
    <x v="0"/>
    <x v="0"/>
    <n v="1"/>
    <n v="76"/>
    <s v="s"/>
    <s v="na"/>
    <n v="0"/>
    <n v="0"/>
    <s v="madura"/>
    <s v="5525-5526"/>
    <n v="2.5129999999999999"/>
    <n v="5.2830000000000004"/>
    <n v="5.4009999999999998"/>
    <n v="0.57499999999999996"/>
    <n v="0.41"/>
    <s v="Alimentou recentemente"/>
    <m/>
    <m/>
  </r>
  <r>
    <s v="m25"/>
    <d v="2025-03-12T00:00:00"/>
    <n v="2"/>
    <d v="1899-12-30T09:00:00"/>
    <m/>
    <m/>
    <x v="1"/>
    <x v="1"/>
    <n v="1"/>
    <n v="77"/>
    <s v="s"/>
    <s v="na"/>
    <n v="0"/>
    <n v="3"/>
    <m/>
    <n v="6650"/>
    <n v="0.73799999999999999"/>
    <n v="2.54"/>
    <n v="2.5670000000000002"/>
    <n v="0.193"/>
    <n v="0.14699999999999999"/>
    <m/>
    <m/>
    <m/>
  </r>
  <r>
    <s v="m26"/>
    <d v="2025-03-12T00:00:00"/>
    <n v="2"/>
    <d v="1899-12-30T09:00:00"/>
    <m/>
    <m/>
    <x v="1"/>
    <x v="2"/>
    <n v="1"/>
    <n v="77"/>
    <s v="s"/>
    <s v="na"/>
    <n v="0"/>
    <n v="3"/>
    <m/>
    <n v="6651"/>
    <n v="0.626"/>
    <n v="2.141"/>
    <n v="2.1269999999999998"/>
    <n v="0.182"/>
    <n v="0.113"/>
    <m/>
    <m/>
    <m/>
  </r>
  <r>
    <s v="f77"/>
    <d v="2025-03-12T00:00:00"/>
    <n v="2"/>
    <d v="1899-12-30T09:00:00"/>
    <m/>
    <m/>
    <x v="0"/>
    <x v="0"/>
    <n v="1"/>
    <n v="77"/>
    <s v="s"/>
    <s v="na"/>
    <n v="0"/>
    <n v="3"/>
    <m/>
    <s v="6512-65513"/>
    <n v="1.571"/>
    <n v="4.4820000000000002"/>
    <n v="4.4930000000000003"/>
    <n v="0.45"/>
    <n v="0.40100000000000002"/>
    <m/>
    <m/>
    <m/>
  </r>
  <r>
    <s v="f78"/>
    <d v="2025-03-12T00:00:00"/>
    <n v="2"/>
    <d v="1899-12-30T09:15:00"/>
    <m/>
    <m/>
    <x v="0"/>
    <x v="0"/>
    <n v="1"/>
    <n v="78"/>
    <s v="s"/>
    <s v="na"/>
    <n v="0"/>
    <n v="3"/>
    <m/>
    <s v="6514-6515"/>
    <n v="2.1389999999999998"/>
    <n v="4.5190000000000001"/>
    <n v="4.5410000000000004"/>
    <n v="0.442"/>
    <n v="0.40699999999999997"/>
    <m/>
    <m/>
    <m/>
  </r>
  <r>
    <s v="m27"/>
    <d v="2025-03-12T00:00:00"/>
    <n v="2"/>
    <d v="1899-12-30T09:15:00"/>
    <m/>
    <m/>
    <x v="1"/>
    <x v="1"/>
    <n v="1"/>
    <n v="78"/>
    <s v="s"/>
    <s v="na"/>
    <n v="0"/>
    <n v="3"/>
    <m/>
    <n v="6652"/>
    <n v="0.61399999999999999"/>
    <n v="2.2989999999999999"/>
    <n v="2.3119999999999998"/>
    <n v="0.19"/>
    <n v="0.125"/>
    <m/>
    <m/>
    <m/>
  </r>
  <r>
    <s v="f79"/>
    <d v="2025-03-12T00:00:00"/>
    <n v="2"/>
    <d v="1899-12-30T09:30:00"/>
    <m/>
    <m/>
    <x v="0"/>
    <x v="0"/>
    <n v="1"/>
    <n v="79"/>
    <s v="s"/>
    <s v="na"/>
    <n v="0"/>
    <n v="2"/>
    <m/>
    <s v="6516-6517"/>
    <n v="1.57"/>
    <n v="4.62"/>
    <n v="4.5759999999999996"/>
    <n v="0.44500000000000001"/>
    <n v="0.30599999999999999"/>
    <m/>
    <m/>
    <m/>
  </r>
  <r>
    <s v="m28"/>
    <d v="2025-03-12T00:00:00"/>
    <n v="2"/>
    <d v="1899-12-30T09:30:00"/>
    <m/>
    <m/>
    <x v="1"/>
    <x v="1"/>
    <n v="1"/>
    <n v="79"/>
    <s v="s"/>
    <s v="na"/>
    <n v="0"/>
    <n v="2"/>
    <m/>
    <n v="6653"/>
    <n v="0.69299999999999995"/>
    <n v="2.3530000000000002"/>
    <n v="2.3140000000000001"/>
    <n v="0.17799999999999999"/>
    <n v="0.14000000000000001"/>
    <m/>
    <m/>
    <m/>
  </r>
  <r>
    <s v="m29"/>
    <d v="2025-03-12T00:00:00"/>
    <n v="2"/>
    <d v="1899-12-30T09:30:00"/>
    <m/>
    <m/>
    <x v="1"/>
    <x v="2"/>
    <n v="1"/>
    <n v="79"/>
    <s v="s"/>
    <s v="na"/>
    <n v="0"/>
    <n v="2"/>
    <m/>
    <n v="6654"/>
    <n v="0.623"/>
    <n v="2.3260000000000001"/>
    <s v="2,29,"/>
    <n v="0.17199999999999999"/>
    <n v="0.126"/>
    <m/>
    <m/>
    <m/>
  </r>
  <r>
    <s v="f80"/>
    <d v="2025-03-12T00:00:00"/>
    <n v="2"/>
    <d v="1899-12-30T10:00:00"/>
    <m/>
    <m/>
    <x v="0"/>
    <x v="0"/>
    <n v="3"/>
    <n v="80"/>
    <s v="a"/>
    <n v="6"/>
    <n v="0"/>
    <n v="0"/>
    <m/>
    <s v="6518-6519"/>
    <n v="1.0980000000000001"/>
    <n v="3.0640000000000001"/>
    <n v="3.1970000000000001"/>
    <n v="0.29599999999999999"/>
    <n v="0.24099999999999999"/>
    <m/>
    <m/>
    <m/>
  </r>
  <r>
    <s v="f81"/>
    <d v="2025-03-12T00:00:00"/>
    <n v="2"/>
    <d v="1899-12-30T10:00:00"/>
    <m/>
    <m/>
    <x v="0"/>
    <x v="0"/>
    <n v="3"/>
    <n v="81"/>
    <s v="a"/>
    <n v="6"/>
    <n v="1"/>
    <n v="0"/>
    <m/>
    <s v="6520-6521-6522"/>
    <n v="1.482"/>
    <n v="3.43"/>
    <s v="na"/>
    <n v="0.36799999999999999"/>
    <n v="0.29399999999999998"/>
    <m/>
    <m/>
    <m/>
  </r>
  <r>
    <s v="f82"/>
    <d v="2025-03-12T00:00:00"/>
    <n v="2"/>
    <d v="1899-12-30T10:20:00"/>
    <m/>
    <m/>
    <x v="0"/>
    <x v="0"/>
    <n v="3"/>
    <n v="82"/>
    <s v="a"/>
    <n v="6"/>
    <n v="0"/>
    <n v="0"/>
    <m/>
    <s v="6523-6524"/>
    <n v="1.9630000000000001"/>
    <n v="4.4909999999999997"/>
    <n v="4.5529999999999999"/>
    <n v="0.436"/>
    <n v="0.41"/>
    <m/>
    <m/>
    <m/>
  </r>
  <r>
    <s v="f83"/>
    <d v="2025-03-12T00:00:00"/>
    <n v="2"/>
    <d v="1899-12-30T10:20:00"/>
    <m/>
    <m/>
    <x v="0"/>
    <x v="0"/>
    <n v="3"/>
    <n v="83"/>
    <s v="a"/>
    <n v="6"/>
    <n v="0"/>
    <n v="0"/>
    <m/>
    <s v="6770-6771"/>
    <n v="1.3919999999999999"/>
    <n v="3.109"/>
    <n v="3.105"/>
    <n v="0.30099999999999999"/>
    <n v="0.27400000000000002"/>
    <s v="Foto nova"/>
    <m/>
    <m/>
  </r>
  <r>
    <s v="m30"/>
    <d v="2025-03-12T00:00:00"/>
    <n v="2"/>
    <d v="1899-12-30T10:30:00"/>
    <m/>
    <m/>
    <x v="1"/>
    <x v="1"/>
    <n v="3"/>
    <n v="84"/>
    <s v="a"/>
    <n v="6"/>
    <n v="0"/>
    <n v="0"/>
    <m/>
    <s v="6655-6656"/>
    <n v="0.59699999999999998"/>
    <n v="2.37"/>
    <n v="2.2050000000000001"/>
    <n v="0.20699999999999999"/>
    <n v="0.1"/>
    <s v="Perna esquerda quebrou"/>
    <m/>
    <m/>
  </r>
  <r>
    <s v="f84"/>
    <d v="2025-03-12T00:00:00"/>
    <n v="2"/>
    <d v="1899-12-30T10:30:00"/>
    <m/>
    <m/>
    <x v="0"/>
    <x v="0"/>
    <n v="3"/>
    <n v="84"/>
    <s v="a"/>
    <n v="6"/>
    <n v="0"/>
    <n v="4"/>
    <m/>
    <s v="6527-6766"/>
    <n v="2.29"/>
    <n v="4.6159999999999997"/>
    <n v="4.4870000000000001"/>
    <n v="0.498"/>
    <n v="0.626"/>
    <m/>
    <m/>
    <m/>
  </r>
  <r>
    <s v="f85"/>
    <d v="2025-03-12T00:00:00"/>
    <n v="2"/>
    <d v="1899-12-30T11:00:00"/>
    <m/>
    <m/>
    <x v="0"/>
    <x v="0"/>
    <n v="3"/>
    <n v="85"/>
    <s v="a"/>
    <n v="6"/>
    <n v="0"/>
    <n v="0"/>
    <m/>
    <s v="6529-6530"/>
    <n v="2.1429999999999998"/>
    <n v="4.74"/>
    <n v="3.7469999999999999"/>
    <n v="0.54500000000000004"/>
    <n v="0.50900000000000001"/>
    <m/>
    <m/>
    <m/>
  </r>
  <r>
    <s v="m31"/>
    <d v="2025-03-12T00:00:00"/>
    <n v="2"/>
    <d v="1899-12-30T11:00:00"/>
    <m/>
    <m/>
    <x v="1"/>
    <x v="2"/>
    <n v="3"/>
    <n v="85"/>
    <s v="a"/>
    <n v="6"/>
    <n v="0"/>
    <n v="0"/>
    <m/>
    <n v="6657"/>
    <n v="0.65300000000000002"/>
    <n v="2.1909999999999998"/>
    <s v="na"/>
    <n v="0.152"/>
    <n v="0.14599999999999999"/>
    <m/>
    <m/>
    <m/>
  </r>
  <r>
    <s v="m32"/>
    <d v="2025-03-12T00:00:00"/>
    <n v="2"/>
    <d v="1899-12-30T11:00:00"/>
    <m/>
    <m/>
    <x v="1"/>
    <x v="1"/>
    <n v="3"/>
    <n v="85"/>
    <s v="a"/>
    <n v="6"/>
    <n v="0"/>
    <n v="0"/>
    <m/>
    <n v="6658"/>
    <n v="0.90600000000000003"/>
    <n v="3.484"/>
    <n v="3.4980000000000002"/>
    <n v="0.28599999999999998"/>
    <n v="0.14199999999999999"/>
    <m/>
    <m/>
    <m/>
  </r>
  <r>
    <s v="f86"/>
    <d v="2025-03-12T00:00:00"/>
    <n v="2"/>
    <d v="1899-12-30T11:00:00"/>
    <m/>
    <m/>
    <x v="0"/>
    <x v="0"/>
    <n v="3"/>
    <n v="86"/>
    <s v="a"/>
    <n v="6"/>
    <n v="0"/>
    <n v="4"/>
    <m/>
    <s v="6531-6533"/>
    <n v="2.1669999999999998"/>
    <n v="4.9630000000000001"/>
    <s v="na"/>
    <n v="0.47499999999999998"/>
    <n v="0.64900000000000002"/>
    <m/>
    <m/>
    <m/>
  </r>
  <r>
    <s v="m33"/>
    <d v="2025-03-12T00:00:00"/>
    <n v="2"/>
    <d v="1899-12-30T11:20:00"/>
    <m/>
    <m/>
    <x v="1"/>
    <x v="2"/>
    <n v="3"/>
    <n v="86"/>
    <s v="a"/>
    <n v="6"/>
    <n v="0"/>
    <n v="4"/>
    <m/>
    <n v="6659"/>
    <n v="0.51700000000000002"/>
    <s v="na"/>
    <n v="1.6639999999999999"/>
    <n v="0.13900000000000001"/>
    <n v="0.105"/>
    <s v="perdeu pedaço da perna ela tem de 2 a 3 mm"/>
    <m/>
    <m/>
  </r>
  <r>
    <s v="m34"/>
    <d v="2025-03-12T00:00:00"/>
    <n v="2"/>
    <d v="1899-12-30T11:20:00"/>
    <m/>
    <m/>
    <x v="1"/>
    <x v="2"/>
    <n v="3"/>
    <n v="86"/>
    <s v="a"/>
    <n v="6"/>
    <n v="0"/>
    <n v="4"/>
    <m/>
    <n v="6660"/>
    <n v="0.68500000000000005"/>
    <n v="2.6389999999999998"/>
    <s v="na"/>
    <n v="0.20799999999999999"/>
    <n v="0.107"/>
    <m/>
    <m/>
    <m/>
  </r>
  <r>
    <s v="m35"/>
    <d v="2025-03-12T00:00:00"/>
    <n v="2"/>
    <d v="1899-12-30T11:20:00"/>
    <m/>
    <m/>
    <x v="1"/>
    <x v="1"/>
    <n v="3"/>
    <n v="86"/>
    <s v="a"/>
    <n v="6"/>
    <n v="0"/>
    <n v="4"/>
    <m/>
    <s v="6661-6662"/>
    <n v="0.66400000000000003"/>
    <n v="2.1560000000000001"/>
    <n v="2.1389999999999998"/>
    <n v="0.2"/>
    <n v="0.13500000000000001"/>
    <m/>
    <m/>
    <m/>
  </r>
  <r>
    <s v="m36"/>
    <d v="2025-03-12T00:00:00"/>
    <n v="2"/>
    <d v="1899-12-30T11:20:00"/>
    <m/>
    <m/>
    <x v="1"/>
    <x v="2"/>
    <n v="3"/>
    <n v="86"/>
    <s v="a"/>
    <n v="6"/>
    <n v="0"/>
    <n v="4"/>
    <m/>
    <n v="6663"/>
    <n v="0.63300000000000001"/>
    <s v="na"/>
    <s v="na"/>
    <n v="0.17499999999999999"/>
    <n v="0.13100000000000001"/>
    <m/>
    <m/>
    <m/>
  </r>
  <r>
    <s v="m37"/>
    <d v="2025-03-12T00:00:00"/>
    <n v="2"/>
    <d v="1899-12-30T11:20:00"/>
    <m/>
    <m/>
    <x v="1"/>
    <x v="2"/>
    <n v="3"/>
    <n v="86"/>
    <s v="a"/>
    <n v="6"/>
    <n v="0"/>
    <n v="4"/>
    <m/>
    <n v="6664"/>
    <n v="0.61"/>
    <n v="1.9019999999999999"/>
    <n v="1.8260000000000001"/>
    <n v="0.16600000000000001"/>
    <n v="0.126"/>
    <m/>
    <m/>
    <m/>
  </r>
  <r>
    <s v="m38"/>
    <d v="2025-03-12T00:00:00"/>
    <n v="2"/>
    <d v="1899-12-30T11:20:00"/>
    <m/>
    <m/>
    <x v="1"/>
    <x v="2"/>
    <n v="3"/>
    <n v="86"/>
    <s v="a"/>
    <n v="6"/>
    <n v="0"/>
    <n v="4"/>
    <m/>
    <n v="6665"/>
    <n v="0.58499999999999996"/>
    <n v="1.79"/>
    <n v="1.78"/>
    <n v="0.191"/>
    <n v="0.13300000000000001"/>
    <m/>
    <m/>
    <m/>
  </r>
  <r>
    <s v="m39"/>
    <d v="2025-03-12T00:00:00"/>
    <n v="2"/>
    <d v="1899-12-30T11:20:00"/>
    <m/>
    <m/>
    <x v="1"/>
    <x v="2"/>
    <n v="3"/>
    <n v="86"/>
    <s v="a"/>
    <n v="6"/>
    <n v="0"/>
    <n v="4"/>
    <m/>
    <n v="6666"/>
    <n v="0.66100000000000003"/>
    <n v="2.3149999999999999"/>
    <s v="na"/>
    <n v="0.182"/>
    <n v="0.112"/>
    <m/>
    <m/>
    <m/>
  </r>
  <r>
    <s v="m40"/>
    <d v="2025-03-12T00:00:00"/>
    <n v="2"/>
    <d v="1899-12-30T11:20:00"/>
    <m/>
    <m/>
    <x v="1"/>
    <x v="2"/>
    <n v="3"/>
    <n v="86"/>
    <s v="a"/>
    <n v="6"/>
    <n v="0"/>
    <n v="4"/>
    <m/>
    <n v="6667"/>
    <n v="0.65800000000000003"/>
    <s v="na"/>
    <n v="2.407"/>
    <n v="0.192"/>
    <n v="0.13200000000000001"/>
    <m/>
    <m/>
    <m/>
  </r>
  <r>
    <s v="f87"/>
    <d v="2025-03-12T00:00:00"/>
    <n v="2"/>
    <d v="1899-12-30T11:20:00"/>
    <m/>
    <m/>
    <x v="0"/>
    <x v="0"/>
    <n v="3"/>
    <n v="87"/>
    <s v="a"/>
    <n v="6"/>
    <n v="0"/>
    <n v="0"/>
    <m/>
    <s v="6534-6535"/>
    <n v="1.8240000000000001"/>
    <n v="5.0720000000000001"/>
    <n v="5.14"/>
    <n v="0.51200000000000001"/>
    <n v="0.34100000000000003"/>
    <m/>
    <m/>
    <m/>
  </r>
  <r>
    <s v="f88"/>
    <d v="2025-03-12T00:00:00"/>
    <n v="2"/>
    <d v="1899-12-30T15:30:00"/>
    <m/>
    <m/>
    <x v="0"/>
    <x v="0"/>
    <n v="3"/>
    <n v="88"/>
    <s v="a"/>
    <n v="7"/>
    <n v="0"/>
    <n v="0"/>
    <m/>
    <s v="6536-65337"/>
    <n v="1.3140000000000001"/>
    <n v="3.69"/>
    <s v="na"/>
    <n v="0.38400000000000001"/>
    <n v="0.27200000000000002"/>
    <m/>
    <m/>
    <m/>
  </r>
  <r>
    <s v="m41"/>
    <d v="2025-03-12T00:00:00"/>
    <n v="2"/>
    <d v="1899-12-30T15:30:00"/>
    <m/>
    <m/>
    <x v="1"/>
    <x v="1"/>
    <n v="3"/>
    <n v="88"/>
    <s v="a"/>
    <n v="7"/>
    <n v="0"/>
    <n v="0"/>
    <m/>
    <n v="6668"/>
    <n v="0.62"/>
    <s v="na"/>
    <n v="2.0960000000000001"/>
    <n v="0.16600000000000001"/>
    <n v="0.126"/>
    <m/>
    <m/>
    <m/>
  </r>
  <r>
    <s v="f89"/>
    <d v="2025-03-12T00:00:00"/>
    <n v="2"/>
    <d v="1899-12-30T15:30:00"/>
    <m/>
    <m/>
    <x v="0"/>
    <x v="0"/>
    <n v="3"/>
    <n v="89"/>
    <s v="a"/>
    <n v="7"/>
    <n v="0"/>
    <n v="0"/>
    <m/>
    <s v="6538-6539"/>
    <n v="1.2789999999999999"/>
    <n v="2.9990000000000001"/>
    <n v="3.2290000000000001"/>
    <n v="0.34300000000000003"/>
    <n v="0.27100000000000002"/>
    <m/>
    <m/>
    <m/>
  </r>
  <r>
    <s v="f90"/>
    <d v="2025-03-12T00:00:00"/>
    <n v="2"/>
    <d v="1899-12-30T15:30:00"/>
    <m/>
    <m/>
    <x v="0"/>
    <x v="0"/>
    <n v="3"/>
    <n v="90"/>
    <s v="a"/>
    <n v="7"/>
    <n v="0"/>
    <n v="0"/>
    <m/>
    <s v="6772-6773"/>
    <n v="2.141"/>
    <n v="5.008"/>
    <s v="na"/>
    <n v="0.48299999999999998"/>
    <n v="0.47"/>
    <s v="Foto nova"/>
    <m/>
    <m/>
  </r>
  <r>
    <s v="m42"/>
    <d v="2025-03-12T00:00:00"/>
    <n v="2"/>
    <d v="1899-12-30T15:30:00"/>
    <m/>
    <m/>
    <x v="1"/>
    <x v="1"/>
    <n v="3"/>
    <n v="90"/>
    <s v="a"/>
    <n v="7"/>
    <n v="0"/>
    <n v="0"/>
    <m/>
    <n v="6669"/>
    <n v="0.84299999999999997"/>
    <n v="3.0139999999999998"/>
    <n v="2.984"/>
    <n v="0.26700000000000002"/>
    <n v="0.14799999999999999"/>
    <m/>
    <m/>
    <m/>
  </r>
  <r>
    <s v="m43"/>
    <d v="2025-03-12T00:00:00"/>
    <n v="2"/>
    <d v="1899-12-30T15:30:00"/>
    <m/>
    <m/>
    <x v="1"/>
    <x v="2"/>
    <n v="3"/>
    <n v="90"/>
    <s v="a"/>
    <n v="7"/>
    <n v="0"/>
    <n v="0"/>
    <m/>
    <n v="6670"/>
    <n v="0.67500000000000004"/>
    <n v="2.4529999999999998"/>
    <n v="2.5179999999999998"/>
    <n v="0.24199999999999999"/>
    <n v="0.17299999999999999"/>
    <m/>
    <m/>
    <m/>
  </r>
  <r>
    <s v="f91"/>
    <d v="2025-03-12T00:00:00"/>
    <n v="2"/>
    <d v="1899-12-30T16:00:00"/>
    <m/>
    <m/>
    <x v="0"/>
    <x v="0"/>
    <n v="6"/>
    <n v="91"/>
    <s v="a"/>
    <n v="8"/>
    <n v="0"/>
    <n v="0"/>
    <m/>
    <s v="6543-6544"/>
    <n v="1.347"/>
    <n v="3.1520000000000001"/>
    <n v="3.2250000000000001"/>
    <n v="0.35699999999999998"/>
    <n v="0.24099999999999999"/>
    <m/>
    <m/>
    <m/>
  </r>
  <r>
    <s v="m44"/>
    <d v="2025-03-12T00:00:00"/>
    <n v="2"/>
    <d v="1899-12-30T16:00:00"/>
    <m/>
    <m/>
    <x v="1"/>
    <x v="1"/>
    <n v="6"/>
    <n v="92"/>
    <s v="a"/>
    <n v="8"/>
    <n v="0"/>
    <n v="0"/>
    <m/>
    <n v="6672"/>
    <n v="0.627"/>
    <n v="2.2370000000000001"/>
    <s v="na"/>
    <n v="0.191"/>
    <n v="0.11899999999999999"/>
    <m/>
    <m/>
    <m/>
  </r>
  <r>
    <s v="f92"/>
    <d v="2025-03-12T00:00:00"/>
    <n v="2"/>
    <d v="1899-12-30T16:00:00"/>
    <m/>
    <m/>
    <x v="0"/>
    <x v="0"/>
    <n v="6"/>
    <n v="92"/>
    <s v="a"/>
    <n v="8"/>
    <n v="0"/>
    <n v="0"/>
    <m/>
    <s v="6545-6546-6547"/>
    <n v="1.623"/>
    <n v="5.2080000000000002"/>
    <n v="5.0780000000000003"/>
    <n v="0.58399999999999996"/>
    <n v="0.48"/>
    <m/>
    <m/>
    <m/>
  </r>
  <r>
    <s v="f93"/>
    <d v="2025-03-12T00:00:00"/>
    <n v="2"/>
    <d v="1899-12-30T16:30:00"/>
    <m/>
    <m/>
    <x v="3"/>
    <x v="0"/>
    <n v="6"/>
    <n v="93"/>
    <s v="a"/>
    <n v="8"/>
    <n v="0"/>
    <n v="0"/>
    <m/>
    <s v="6548-6549-6550"/>
    <n v="1.56"/>
    <n v="3.5470000000000002"/>
    <n v="3.609"/>
    <n v="0.39300000000000002"/>
    <n v="0.377"/>
    <s v="Teia diferente das outras, aranha imatura? Não"/>
    <m/>
    <m/>
  </r>
  <r>
    <s v="m45"/>
    <d v="2025-03-12T00:00:00"/>
    <n v="2"/>
    <d v="1899-12-30T16:30:00"/>
    <m/>
    <m/>
    <x v="2"/>
    <x v="1"/>
    <n v="6"/>
    <n v="93"/>
    <s v="a"/>
    <n v="8"/>
    <n v="0"/>
    <n v="0"/>
    <m/>
    <n v="6673"/>
    <n v="0.73699999999999999"/>
    <n v="2.6749999999999998"/>
    <n v="2.633"/>
    <n v="0.216"/>
    <n v="0.128"/>
    <m/>
    <m/>
    <m/>
  </r>
  <r>
    <s v="m46"/>
    <d v="2025-03-12T00:00:00"/>
    <n v="2"/>
    <d v="1899-12-30T16:30:00"/>
    <m/>
    <m/>
    <x v="2"/>
    <x v="2"/>
    <n v="6"/>
    <n v="93"/>
    <s v="a"/>
    <n v="8"/>
    <n v="0"/>
    <n v="0"/>
    <m/>
    <n v="6674"/>
    <n v="0.65500000000000003"/>
    <n v="2.35"/>
    <n v="2.31"/>
    <n v="0.193"/>
    <n v="0.104"/>
    <m/>
    <m/>
    <m/>
  </r>
  <r>
    <s v="m47"/>
    <d v="2025-03-12T00:00:00"/>
    <n v="2"/>
    <d v="1899-12-30T16:30:00"/>
    <m/>
    <m/>
    <x v="2"/>
    <x v="2"/>
    <n v="6"/>
    <n v="93"/>
    <s v="a"/>
    <n v="8"/>
    <n v="0"/>
    <n v="0"/>
    <m/>
    <n v="6675"/>
    <n v="0.61099999999999999"/>
    <n v="2.5310000000000001"/>
    <n v="2.363"/>
    <n v="0.20799999999999999"/>
    <n v="0.114"/>
    <m/>
    <m/>
    <m/>
  </r>
  <r>
    <s v="m48"/>
    <d v="2025-03-12T00:00:00"/>
    <n v="2"/>
    <d v="1899-12-30T16:30:00"/>
    <m/>
    <m/>
    <x v="2"/>
    <x v="2"/>
    <n v="6"/>
    <n v="93"/>
    <s v="a"/>
    <n v="8"/>
    <n v="0"/>
    <n v="0"/>
    <m/>
    <n v="6676"/>
    <n v="0.91800000000000004"/>
    <n v="3.1909999999999998"/>
    <n v="3.2280000000000002"/>
    <n v="0.25700000000000001"/>
    <n v="0.155"/>
    <s v="Incerto se central ou periférico"/>
    <m/>
    <m/>
  </r>
  <r>
    <s v="f94"/>
    <d v="2025-03-12T00:00:00"/>
    <n v="2"/>
    <d v="1899-12-30T16:30:00"/>
    <m/>
    <m/>
    <x v="0"/>
    <x v="0"/>
    <n v="6"/>
    <n v="94"/>
    <s v="a"/>
    <n v="8"/>
    <n v="0"/>
    <n v="0"/>
    <m/>
    <s v="6551-6552"/>
    <n v="2.0960000000000001"/>
    <n v="4.7270000000000003"/>
    <n v="4.7590000000000003"/>
    <n v="0.502"/>
    <n v="0.53900000000000003"/>
    <m/>
    <m/>
    <m/>
  </r>
  <r>
    <s v="m49"/>
    <d v="2025-03-12T00:00:00"/>
    <n v="2"/>
    <d v="1899-12-30T17:00:00"/>
    <m/>
    <m/>
    <x v="1"/>
    <x v="1"/>
    <n v="6"/>
    <n v="94"/>
    <s v="a"/>
    <n v="8"/>
    <n v="0"/>
    <n v="0"/>
    <m/>
    <n v="6677"/>
    <n v="0.65800000000000003"/>
    <n v="2.5680000000000001"/>
    <n v="2.673"/>
    <n v="0.21299999999999999"/>
    <n v="0.13300000000000001"/>
    <m/>
    <m/>
    <m/>
  </r>
  <r>
    <s v="m50"/>
    <d v="2025-03-12T00:00:00"/>
    <n v="2"/>
    <d v="1899-12-30T17:00:00"/>
    <m/>
    <m/>
    <x v="1"/>
    <x v="2"/>
    <n v="6"/>
    <n v="94"/>
    <s v="a"/>
    <n v="8"/>
    <n v="0"/>
    <n v="0"/>
    <m/>
    <n v="6680"/>
    <n v="0.68100000000000005"/>
    <n v="1.931"/>
    <n v="2.359"/>
    <n v="0.22700000000000001"/>
    <n v="0.121"/>
    <m/>
    <m/>
    <m/>
  </r>
  <r>
    <s v="m51"/>
    <d v="2025-03-12T00:00:00"/>
    <n v="2"/>
    <d v="1899-12-30T17:00:00"/>
    <m/>
    <m/>
    <x v="1"/>
    <x v="2"/>
    <n v="6"/>
    <n v="94"/>
    <s v="a"/>
    <n v="8"/>
    <n v="0"/>
    <n v="0"/>
    <m/>
    <n v="6721"/>
    <n v="0.64200000000000002"/>
    <n v="1.9279999999999999"/>
    <n v="1.849"/>
    <n v="0.17100000000000001"/>
    <n v="0.127"/>
    <m/>
    <m/>
    <m/>
  </r>
  <r>
    <s v="m52"/>
    <d v="2025-03-12T00:00:00"/>
    <n v="2"/>
    <d v="1899-12-30T17:00:00"/>
    <m/>
    <m/>
    <x v="1"/>
    <x v="2"/>
    <n v="6"/>
    <n v="94"/>
    <s v="a"/>
    <n v="8"/>
    <n v="0"/>
    <n v="0"/>
    <m/>
    <s v="6775-6776"/>
    <n v="0.58399999999999996"/>
    <n v="2.0379999999999998"/>
    <n v="1.871"/>
    <n v="0.16900000000000001"/>
    <n v="0.11799999999999999"/>
    <s v="Foto nova"/>
    <m/>
    <m/>
  </r>
  <r>
    <s v="m53"/>
    <d v="2025-03-12T00:00:00"/>
    <n v="2"/>
    <d v="1899-12-30T17:00:00"/>
    <m/>
    <m/>
    <x v="2"/>
    <x v="2"/>
    <n v="6"/>
    <n v="92"/>
    <s v="a"/>
    <n v="8"/>
    <n v="0"/>
    <n v="0"/>
    <m/>
    <n v="6723"/>
    <n v="0.72699999999999998"/>
    <s v="na"/>
    <s v="na"/>
    <n v="0.22500000000000001"/>
    <n v="0.1"/>
    <s v="Coletei na teia 92 mas sem ter visto ele antes, acho que esse era na verdade da teia 94"/>
    <m/>
    <m/>
  </r>
  <r>
    <s v="m54"/>
    <d v="2025-03-12T00:00:00"/>
    <n v="2"/>
    <d v="1899-12-30T17:00:00"/>
    <m/>
    <m/>
    <x v="2"/>
    <x v="2"/>
    <n v="6"/>
    <n v="92"/>
    <s v="a"/>
    <n v="8"/>
    <n v="0"/>
    <n v="0"/>
    <m/>
    <n v="6724"/>
    <n v="0.621"/>
    <n v="2.0539999999999998"/>
    <s v="na"/>
    <n v="0.215"/>
    <n v="0.12"/>
    <s v="Coletei na teia 92 mas sem ter visto ele antes"/>
    <m/>
    <m/>
  </r>
  <r>
    <s v="m55"/>
    <d v="2025-03-25T00:00:00"/>
    <n v="2"/>
    <d v="1899-12-30T10:20:00"/>
    <m/>
    <m/>
    <x v="1"/>
    <x v="2"/>
    <n v="1"/>
    <n v="95"/>
    <s v="a"/>
    <n v="9"/>
    <n v="0"/>
    <n v="0"/>
    <m/>
    <n v="6725"/>
    <n v="0.57199999999999995"/>
    <n v="1.7070000000000001"/>
    <n v="1.8560000000000001"/>
    <n v="0.14299999999999999"/>
    <n v="0.11"/>
    <m/>
    <m/>
    <m/>
  </r>
  <r>
    <s v="m56"/>
    <d v="2025-03-25T00:00:00"/>
    <n v="2"/>
    <d v="1899-12-30T10:20:00"/>
    <m/>
    <m/>
    <x v="1"/>
    <x v="1"/>
    <n v="1"/>
    <n v="95"/>
    <s v="a"/>
    <n v="9"/>
    <n v="0"/>
    <n v="0"/>
    <m/>
    <n v="6726"/>
    <n v="0.59499999999999997"/>
    <n v="2.2770000000000001"/>
    <s v="na"/>
    <n v="0.17599999999999999"/>
    <n v="0.11700000000000001"/>
    <m/>
    <m/>
    <m/>
  </r>
  <r>
    <s v="f95"/>
    <d v="2025-03-25T00:00:00"/>
    <n v="2"/>
    <d v="1899-12-30T10:20:00"/>
    <m/>
    <m/>
    <x v="0"/>
    <x v="0"/>
    <n v="1"/>
    <n v="95"/>
    <s v="a"/>
    <n v="9"/>
    <n v="0"/>
    <n v="0"/>
    <m/>
    <s v="6553-6554"/>
    <n v="2.0059999999999998"/>
    <n v="5.3490000000000002"/>
    <n v="5.3490000000000002"/>
    <n v="0.57099999999999995"/>
    <n v="0.35"/>
    <m/>
    <m/>
    <m/>
  </r>
  <r>
    <s v="f96"/>
    <d v="2025-03-25T00:00:00"/>
    <n v="2"/>
    <d v="1899-12-30T10:20:00"/>
    <m/>
    <m/>
    <x v="0"/>
    <x v="0"/>
    <n v="1"/>
    <n v="96"/>
    <s v="a"/>
    <n v="9"/>
    <n v="0"/>
    <n v="0"/>
    <m/>
    <s v="6555-6556"/>
    <n v="2.13"/>
    <n v="4.5940000000000003"/>
    <n v="4.6790000000000003"/>
    <n v="0.51900000000000002"/>
    <n v="0.47"/>
    <m/>
    <m/>
    <m/>
  </r>
  <r>
    <s v="f97"/>
    <d v="2025-03-25T00:00:00"/>
    <n v="2"/>
    <d v="1899-12-30T10:20:00"/>
    <m/>
    <m/>
    <x v="0"/>
    <x v="0"/>
    <n v="1"/>
    <n v="97"/>
    <s v="a"/>
    <n v="9"/>
    <n v="0"/>
    <n v="0"/>
    <m/>
    <s v="6557-6558"/>
    <n v="1.3879999999999999"/>
    <s v="na"/>
    <n v="3.452"/>
    <n v="0.34899999999999998"/>
    <n v="0.22900000000000001"/>
    <m/>
    <m/>
    <m/>
  </r>
  <r>
    <s v="m57"/>
    <d v="2025-03-25T00:00:00"/>
    <n v="2"/>
    <d v="1899-12-30T10:20:00"/>
    <m/>
    <m/>
    <x v="1"/>
    <x v="1"/>
    <n v="1"/>
    <n v="97"/>
    <s v="a"/>
    <n v="9"/>
    <n v="0"/>
    <m/>
    <m/>
    <n v="6727"/>
    <n v="0.56000000000000005"/>
    <n v="1.958"/>
    <n v="1.972"/>
    <n v="0.184"/>
    <n v="8.7999999999999995E-2"/>
    <m/>
    <m/>
    <m/>
  </r>
  <r>
    <s v="m58"/>
    <d v="2025-03-25T00:00:00"/>
    <n v="2"/>
    <d v="1899-12-30T10:20:00"/>
    <m/>
    <m/>
    <x v="1"/>
    <x v="1"/>
    <n v="1"/>
    <n v="98"/>
    <s v="a"/>
    <n v="9"/>
    <n v="0"/>
    <m/>
    <m/>
    <n v="6728"/>
    <n v="0.7"/>
    <n v="2.2349999999999999"/>
    <n v="2.0409999999999999"/>
    <n v="0.20599999999999999"/>
    <n v="0.129"/>
    <m/>
    <m/>
    <m/>
  </r>
  <r>
    <s v="f98"/>
    <d v="2025-03-25T00:00:00"/>
    <n v="2"/>
    <d v="1899-12-30T10:20:00"/>
    <m/>
    <m/>
    <x v="0"/>
    <x v="0"/>
    <n v="1"/>
    <n v="98"/>
    <s v="a"/>
    <n v="9"/>
    <n v="0"/>
    <m/>
    <m/>
    <s v="6559-6560"/>
    <n v="1.74"/>
    <n v="3.87"/>
    <n v="3.843"/>
    <n v="0.33300000000000002"/>
    <n v="0.26100000000000001"/>
    <m/>
    <m/>
    <m/>
  </r>
  <r>
    <s v="f99"/>
    <d v="2025-03-25T00:00:00"/>
    <n v="2"/>
    <d v="1899-12-30T10:20:00"/>
    <m/>
    <m/>
    <x v="0"/>
    <x v="0"/>
    <n v="1"/>
    <n v="99"/>
    <s v="a"/>
    <n v="9"/>
    <n v="0"/>
    <m/>
    <m/>
    <s v="6561-6562"/>
    <n v="1.6020000000000001"/>
    <n v="3.86"/>
    <n v="3.899"/>
    <n v="0.40100000000000002"/>
    <n v="0.318"/>
    <m/>
    <m/>
    <m/>
  </r>
  <r>
    <s v="m59"/>
    <d v="2025-03-25T00:00:00"/>
    <n v="2"/>
    <d v="1899-12-30T10:20:00"/>
    <m/>
    <m/>
    <x v="1"/>
    <x v="1"/>
    <n v="1"/>
    <n v="99"/>
    <s v="a"/>
    <n v="9"/>
    <n v="0"/>
    <m/>
    <m/>
    <n v="6777"/>
    <n v="0.72"/>
    <n v="2.3780000000000001"/>
    <n v="2.4369999999999998"/>
    <n v="0.216"/>
    <n v="0.13"/>
    <s v="Foto nova"/>
    <m/>
    <m/>
  </r>
  <r>
    <s v="m60"/>
    <d v="2025-03-25T00:00:00"/>
    <n v="2"/>
    <d v="1899-12-30T11:00:00"/>
    <m/>
    <m/>
    <x v="1"/>
    <x v="2"/>
    <n v="1"/>
    <n v="99"/>
    <s v="a"/>
    <n v="9"/>
    <n v="0"/>
    <m/>
    <m/>
    <n v="6730"/>
    <n v="0.64900000000000002"/>
    <n v="2.0390000000000001"/>
    <n v="2.012"/>
    <n v="0.19700000000000001"/>
    <n v="0.125"/>
    <m/>
    <m/>
    <m/>
  </r>
  <r>
    <s v="f100"/>
    <d v="2025-03-25T00:00:00"/>
    <n v="2"/>
    <d v="1899-12-30T11:00:00"/>
    <m/>
    <m/>
    <x v="0"/>
    <x v="0"/>
    <n v="1"/>
    <n v="100"/>
    <s v="a"/>
    <n v="10"/>
    <n v="0"/>
    <m/>
    <m/>
    <s v="6563-6564"/>
    <n v="1.919"/>
    <n v="4.5869999999999997"/>
    <n v="4.3940000000000001"/>
    <n v="0.51"/>
    <n v="0.46800000000000003"/>
    <m/>
    <m/>
    <m/>
  </r>
  <r>
    <s v="m61"/>
    <d v="2025-03-25T00:00:00"/>
    <n v="2"/>
    <d v="1899-12-30T11:00:00"/>
    <m/>
    <m/>
    <x v="1"/>
    <x v="1"/>
    <n v="1"/>
    <n v="100"/>
    <s v="a"/>
    <n v="10"/>
    <n v="0"/>
    <m/>
    <m/>
    <n v="6731"/>
    <n v="0.64800000000000002"/>
    <n v="2.4039999999999999"/>
    <n v="2.395"/>
    <n v="0.18"/>
    <n v="0.121"/>
    <m/>
    <m/>
    <m/>
  </r>
  <r>
    <s v="f101"/>
    <d v="2025-03-25T00:00:00"/>
    <n v="2"/>
    <d v="1899-12-30T11:00:00"/>
    <m/>
    <m/>
    <x v="3"/>
    <x v="0"/>
    <n v="1"/>
    <n v="101"/>
    <s v="a"/>
    <n v="10"/>
    <n v="0"/>
    <m/>
    <m/>
    <s v="6565-6566"/>
    <n v="1.4570000000000001"/>
    <n v="2.8980000000000001"/>
    <n v="2.956"/>
    <n v="0.316"/>
    <n v="0.33700000000000002"/>
    <s v="Teia estranha checar se madura. Madura"/>
    <m/>
    <m/>
  </r>
  <r>
    <s v="m62"/>
    <d v="2025-03-25T00:00:00"/>
    <n v="2"/>
    <d v="1899-12-30T11:00:00"/>
    <m/>
    <m/>
    <x v="1"/>
    <x v="1"/>
    <n v="1"/>
    <n v="102"/>
    <s v="a"/>
    <n v="10"/>
    <n v="0"/>
    <m/>
    <m/>
    <n v="6732"/>
    <n v="0.62"/>
    <n v="2.3559999999999999"/>
    <n v="2.0430000000000001"/>
    <n v="0.17899999999999999"/>
    <n v="0.104"/>
    <m/>
    <m/>
    <m/>
  </r>
  <r>
    <s v="f102"/>
    <d v="2025-03-25T00:00:00"/>
    <n v="2"/>
    <d v="1899-12-30T11:00:00"/>
    <m/>
    <m/>
    <x v="0"/>
    <x v="0"/>
    <n v="1"/>
    <n v="102"/>
    <s v="a"/>
    <n v="10"/>
    <n v="0"/>
    <m/>
    <m/>
    <s v="6567-6568"/>
    <n v="2.2930000000000001"/>
    <n v="4.8540000000000001"/>
    <n v="4.7009999999999996"/>
    <n v="0.50800000000000001"/>
    <n v="0.45700000000000002"/>
    <m/>
    <m/>
    <m/>
  </r>
  <r>
    <s v="f103"/>
    <d v="2025-03-25T00:00:00"/>
    <n v="2"/>
    <d v="1899-12-30T11:00:00"/>
    <m/>
    <m/>
    <x v="0"/>
    <x v="0"/>
    <n v="1"/>
    <n v="103"/>
    <s v="a"/>
    <n v="10"/>
    <n v="0"/>
    <m/>
    <m/>
    <s v="6569-6570"/>
    <n v="1.4"/>
    <n v="3.6520000000000001"/>
    <n v="3.629"/>
    <n v="0.39700000000000002"/>
    <s v="na"/>
    <m/>
    <m/>
    <m/>
  </r>
  <r>
    <s v="m63"/>
    <d v="2025-03-25T00:00:00"/>
    <n v="2"/>
    <d v="1899-12-30T12:00:00"/>
    <m/>
    <m/>
    <x v="1"/>
    <x v="1"/>
    <n v="1"/>
    <n v="103"/>
    <s v="a"/>
    <n v="10"/>
    <n v="0"/>
    <m/>
    <m/>
    <n v="6733"/>
    <n v="0.56999999999999995"/>
    <n v="2.0409999999999999"/>
    <n v="1.996"/>
    <n v="0.19700000000000001"/>
    <n v="0.11799999999999999"/>
    <m/>
    <m/>
    <m/>
  </r>
  <r>
    <s v="f104"/>
    <d v="2025-03-25T00:00:00"/>
    <n v="2"/>
    <d v="1899-12-30T12:00:00"/>
    <m/>
    <m/>
    <x v="0"/>
    <x v="0"/>
    <n v="1"/>
    <n v="104"/>
    <s v="a"/>
    <n v="11"/>
    <n v="0"/>
    <m/>
    <m/>
    <s v="6571-65722"/>
    <n v="1.738"/>
    <n v="4.47"/>
    <n v="4.335"/>
    <n v="0.437"/>
    <s v="na"/>
    <m/>
    <m/>
    <m/>
  </r>
  <r>
    <s v="m64"/>
    <d v="2025-03-25T00:00:00"/>
    <n v="2"/>
    <d v="1899-12-30T12:00:00"/>
    <m/>
    <m/>
    <x v="1"/>
    <x v="1"/>
    <n v="1"/>
    <n v="104"/>
    <s v="a"/>
    <n v="11"/>
    <n v="0"/>
    <m/>
    <m/>
    <n v="6735"/>
    <n v="0.65"/>
    <n v="1.9670000000000001"/>
    <s v="na"/>
    <n v="0.161"/>
    <n v="0.123"/>
    <m/>
    <m/>
    <m/>
  </r>
  <r>
    <s v="f105"/>
    <d v="2025-03-25T00:00:00"/>
    <n v="2"/>
    <d v="1899-12-30T12:00:00"/>
    <m/>
    <m/>
    <x v="0"/>
    <x v="0"/>
    <n v="1"/>
    <n v="105"/>
    <s v="a"/>
    <n v="11"/>
    <n v="0"/>
    <m/>
    <m/>
    <n v="6573"/>
    <n v="1.4610000000000001"/>
    <n v="2.9660000000000002"/>
    <n v="2.9340000000000002"/>
    <n v="0.308"/>
    <n v="0.253"/>
    <m/>
    <m/>
    <m/>
  </r>
  <r>
    <s v="m65"/>
    <d v="2025-03-25T00:00:00"/>
    <n v="2"/>
    <d v="1899-12-30T12:00:00"/>
    <m/>
    <m/>
    <x v="1"/>
    <x v="2"/>
    <n v="1"/>
    <n v="106"/>
    <s v="a"/>
    <n v="11"/>
    <n v="0"/>
    <m/>
    <m/>
    <n v="6736"/>
    <n v="0.433"/>
    <n v="1.3120000000000001"/>
    <n v="1.399"/>
    <n v="0.128"/>
    <n v="9.6000000000000002E-2"/>
    <m/>
    <m/>
    <m/>
  </r>
  <r>
    <s v="f106"/>
    <d v="2025-03-25T00:00:00"/>
    <n v="2"/>
    <d v="1899-12-30T12:00:00"/>
    <m/>
    <m/>
    <x v="0"/>
    <x v="0"/>
    <n v="1"/>
    <n v="106"/>
    <s v="a"/>
    <n v="11"/>
    <n v="0"/>
    <m/>
    <m/>
    <s v="6574-6575"/>
    <n v="2.1720000000000002"/>
    <n v="4.47"/>
    <s v="na"/>
    <n v="0.51600000000000001"/>
    <n v="0.52700000000000002"/>
    <m/>
    <m/>
    <m/>
  </r>
  <r>
    <s v="m66"/>
    <d v="2025-03-25T00:00:00"/>
    <n v="2"/>
    <d v="1899-12-30T12:00:00"/>
    <m/>
    <m/>
    <x v="1"/>
    <x v="1"/>
    <n v="1"/>
    <n v="107"/>
    <s v="a"/>
    <n v="11"/>
    <n v="0"/>
    <m/>
    <m/>
    <n v="6737"/>
    <n v="0.56899999999999995"/>
    <s v="na"/>
    <n v="1.7969999999999999"/>
    <n v="0.16400000000000001"/>
    <n v="0.109"/>
    <m/>
    <m/>
    <m/>
  </r>
  <r>
    <s v="f107"/>
    <d v="2025-03-25T00:00:00"/>
    <n v="2"/>
    <d v="1899-12-30T12:00:00"/>
    <m/>
    <m/>
    <x v="0"/>
    <x v="0"/>
    <n v="1"/>
    <n v="107"/>
    <s v="a"/>
    <n v="11"/>
    <n v="0"/>
    <m/>
    <m/>
    <s v="6576-6577"/>
    <n v="1.9059999999999999"/>
    <n v="4.1230000000000002"/>
    <n v="4.0439999999999996"/>
    <n v="0.45500000000000002"/>
    <n v="0.36799999999999999"/>
    <m/>
    <m/>
    <m/>
  </r>
  <r>
    <s v="f108"/>
    <d v="2025-04-08T00:00:00"/>
    <n v="2"/>
    <d v="1899-12-30T10:30:00"/>
    <m/>
    <m/>
    <x v="0"/>
    <x v="0"/>
    <n v="1"/>
    <n v="108"/>
    <s v="s"/>
    <s v="na"/>
    <n v="0"/>
    <m/>
    <m/>
    <s v="6578-6579"/>
    <n v="2.37"/>
    <n v="4.4029999999999996"/>
    <n v="4.4550000000000001"/>
    <n v="0.40400000000000003"/>
    <n v="0.45800000000000002"/>
    <m/>
    <m/>
    <m/>
  </r>
  <r>
    <s v="f109"/>
    <d v="2025-04-08T00:00:00"/>
    <n v="2"/>
    <d v="1899-12-30T10:30:00"/>
    <m/>
    <m/>
    <x v="0"/>
    <x v="0"/>
    <n v="1"/>
    <n v="109"/>
    <s v="s"/>
    <s v="na"/>
    <n v="0"/>
    <m/>
    <m/>
    <s v="6580-6581"/>
    <n v="2.2050000000000001"/>
    <n v="4.7569999999999997"/>
    <n v="4.6779999999999999"/>
    <n v="0.44700000000000001"/>
    <n v="0.379"/>
    <m/>
    <m/>
    <m/>
  </r>
  <r>
    <s v="m67"/>
    <d v="2025-04-08T00:00:00"/>
    <n v="2"/>
    <d v="1899-12-30T10:30:00"/>
    <m/>
    <m/>
    <x v="1"/>
    <x v="1"/>
    <n v="1"/>
    <n v="109"/>
    <s v="s"/>
    <s v="na"/>
    <n v="0"/>
    <m/>
    <m/>
    <n v="6738"/>
    <n v="0.61599999999999999"/>
    <n v="2.1800000000000002"/>
    <n v="2.2639999999999998"/>
    <n v="0.24099999999999999"/>
    <n v="0.11799999999999999"/>
    <m/>
    <m/>
    <m/>
  </r>
  <r>
    <s v="f110"/>
    <d v="2025-04-08T00:00:00"/>
    <n v="2"/>
    <d v="1899-12-30T10:30:00"/>
    <m/>
    <m/>
    <x v="0"/>
    <x v="0"/>
    <n v="1"/>
    <n v="110"/>
    <s v="s"/>
    <s v="na"/>
    <n v="0"/>
    <m/>
    <m/>
    <s v="6582-6583"/>
    <n v="2.319"/>
    <s v="na"/>
    <n v="4.1109999999999998"/>
    <n v="0.34699999999999998"/>
    <n v="0.52300000000000002"/>
    <s v="Madura?-  Madura"/>
    <m/>
    <m/>
  </r>
  <r>
    <s v="f111"/>
    <d v="2025-04-08T00:00:00"/>
    <n v="2"/>
    <d v="1899-12-30T10:30:00"/>
    <m/>
    <m/>
    <x v="0"/>
    <x v="0"/>
    <n v="1"/>
    <n v="111"/>
    <s v="s"/>
    <s v="na"/>
    <n v="0"/>
    <m/>
    <m/>
    <s v="6584-6585"/>
    <n v="2.09"/>
    <n v="4.8150000000000004"/>
    <n v="4.875"/>
    <n v="0.49099999999999999"/>
    <n v="0.621"/>
    <s v="madura?- Madura"/>
    <m/>
    <m/>
  </r>
  <r>
    <s v="m68"/>
    <d v="2025-04-08T00:00:00"/>
    <n v="2"/>
    <d v="1899-12-30T10:30:00"/>
    <m/>
    <m/>
    <x v="1"/>
    <x v="1"/>
    <n v="1"/>
    <n v="111"/>
    <s v="s"/>
    <s v="na"/>
    <n v="0"/>
    <m/>
    <m/>
    <n v="6739"/>
    <n v="0.57199999999999995"/>
    <n v="2.0739999999999998"/>
    <n v="2.113"/>
    <n v="0.21099999999999999"/>
    <n v="0.112"/>
    <m/>
    <m/>
    <m/>
  </r>
  <r>
    <s v="f112"/>
    <d v="2025-04-08T00:00:00"/>
    <n v="2"/>
    <d v="1899-12-30T10:30:00"/>
    <m/>
    <m/>
    <x v="0"/>
    <x v="0"/>
    <n v="1"/>
    <n v="112"/>
    <s v="s"/>
    <s v="na"/>
    <n v="0"/>
    <m/>
    <m/>
    <s v="6586-6588"/>
    <n v="2.6739999999999999"/>
    <n v="4.8520000000000003"/>
    <n v="4.8620000000000001"/>
    <n v="0.54400000000000004"/>
    <n v="0.64700000000000002"/>
    <s v="Perdeu a perna na coleta"/>
    <m/>
    <m/>
  </r>
  <r>
    <s v="f113"/>
    <d v="2025-04-08T00:00:00"/>
    <n v="2"/>
    <d v="1899-12-30T10:30:00"/>
    <m/>
    <m/>
    <x v="0"/>
    <x v="0"/>
    <n v="4"/>
    <n v="113"/>
    <s v="s"/>
    <s v="na"/>
    <n v="0"/>
    <m/>
    <m/>
    <s v="6589--6590"/>
    <n v="2.0139999999999998"/>
    <n v="4.4480000000000004"/>
    <s v="na"/>
    <n v="0.46500000000000002"/>
    <n v="0.5"/>
    <m/>
    <m/>
    <m/>
  </r>
  <r>
    <s v="m69"/>
    <d v="2025-04-08T00:00:00"/>
    <n v="2"/>
    <d v="1899-12-30T10:30:00"/>
    <m/>
    <m/>
    <x v="1"/>
    <x v="1"/>
    <n v="4"/>
    <n v="113"/>
    <s v="s"/>
    <s v="na"/>
    <n v="0"/>
    <m/>
    <m/>
    <n v="6740"/>
    <n v="0.67500000000000004"/>
    <s v="na"/>
    <s v="na"/>
    <n v="0.19700000000000001"/>
    <n v="0.13900000000000001"/>
    <m/>
    <m/>
    <m/>
  </r>
  <r>
    <s v="f114"/>
    <d v="2025-04-08T00:00:00"/>
    <n v="2"/>
    <d v="1899-12-30T10:30:00"/>
    <m/>
    <m/>
    <x v="0"/>
    <x v="0"/>
    <n v="4"/>
    <n v="114"/>
    <s v="s"/>
    <s v="na"/>
    <n v="0"/>
    <m/>
    <m/>
    <s v="6591-6592"/>
    <n v="2.5059999999999998"/>
    <n v="4.9939999999999998"/>
    <n v="4.9729999999999999"/>
    <n v="0.52500000000000002"/>
    <n v="0.68500000000000005"/>
    <m/>
    <m/>
    <m/>
  </r>
  <r>
    <s v="m70"/>
    <d v="2025-04-08T00:00:00"/>
    <n v="2"/>
    <d v="1899-12-30T10:30:00"/>
    <m/>
    <m/>
    <x v="1"/>
    <x v="1"/>
    <n v="4"/>
    <n v="114"/>
    <s v="s"/>
    <s v="na"/>
    <n v="0"/>
    <m/>
    <m/>
    <n v="6741"/>
    <n v="0.78900000000000003"/>
    <n v="3.03"/>
    <n v="3.0529999999999999"/>
    <n v="0.26800000000000002"/>
    <n v="0.128"/>
    <m/>
    <m/>
    <m/>
  </r>
  <r>
    <s v="f115"/>
    <d v="2025-04-08T00:00:00"/>
    <n v="2"/>
    <d v="1899-12-30T10:30:00"/>
    <m/>
    <m/>
    <x v="0"/>
    <x v="0"/>
    <n v="4"/>
    <n v="115"/>
    <s v="s"/>
    <s v="na"/>
    <n v="0"/>
    <m/>
    <m/>
    <s v="6593-6594"/>
    <n v="2.335"/>
    <n v="5.77"/>
    <n v="5.7569999999999997"/>
    <n v="0.55900000000000005"/>
    <n v="0.66900000000000004"/>
    <m/>
    <m/>
    <m/>
  </r>
  <r>
    <s v="m71"/>
    <d v="2025-04-08T00:00:00"/>
    <n v="2"/>
    <d v="1899-12-30T10:30:00"/>
    <m/>
    <m/>
    <x v="1"/>
    <x v="1"/>
    <n v="4"/>
    <n v="115"/>
    <s v="s"/>
    <s v="na"/>
    <n v="0"/>
    <m/>
    <m/>
    <n v="6742"/>
    <n v="0.63500000000000001"/>
    <n v="2.3170000000000002"/>
    <n v="2.3079999999999998"/>
    <n v="0.22600000000000001"/>
    <n v="0.14699999999999999"/>
    <m/>
    <m/>
    <m/>
  </r>
  <r>
    <s v="f116"/>
    <d v="2025-04-08T00:00:00"/>
    <n v="2"/>
    <d v="1899-12-30T10:30:00"/>
    <m/>
    <m/>
    <x v="0"/>
    <x v="0"/>
    <n v="4"/>
    <n v="116"/>
    <s v="s"/>
    <s v="na"/>
    <n v="0"/>
    <m/>
    <m/>
    <s v="6595-6596"/>
    <n v="2.2200000000000002"/>
    <n v="5.2960000000000003"/>
    <n v="5.181"/>
    <n v="0.58899999999999997"/>
    <s v="na"/>
    <m/>
    <m/>
    <m/>
  </r>
  <r>
    <s v="m72"/>
    <d v="2025-04-08T00:00:00"/>
    <n v="2"/>
    <d v="1899-12-30T10:30:00"/>
    <m/>
    <m/>
    <x v="1"/>
    <x v="1"/>
    <n v="4"/>
    <n v="116"/>
    <s v="s"/>
    <s v="na"/>
    <n v="0"/>
    <m/>
    <m/>
    <n v="6743"/>
    <n v="0.69299999999999995"/>
    <s v="na"/>
    <n v="2.2330000000000001"/>
    <n v="0.17299999999999999"/>
    <n v="0.129"/>
    <s v="Pode ter trocado de lugar"/>
    <m/>
    <m/>
  </r>
  <r>
    <s v="m73"/>
    <d v="2025-04-08T00:00:00"/>
    <n v="2"/>
    <d v="1899-12-30T10:30:00"/>
    <m/>
    <m/>
    <x v="1"/>
    <x v="2"/>
    <n v="4"/>
    <n v="116"/>
    <s v="s"/>
    <s v="na"/>
    <n v="0"/>
    <m/>
    <m/>
    <n v="6744"/>
    <n v="0.72599999999999998"/>
    <n v="2.3929999999999998"/>
    <n v="2.3650000000000002"/>
    <n v="0.218"/>
    <n v="0.113"/>
    <m/>
    <m/>
    <m/>
  </r>
  <r>
    <s v="f117"/>
    <d v="2025-04-09T00:00:00"/>
    <n v="2"/>
    <d v="1899-12-30T09:25:00"/>
    <m/>
    <m/>
    <x v="0"/>
    <x v="0"/>
    <n v="1"/>
    <n v="117"/>
    <s v="s"/>
    <s v="na"/>
    <n v="0"/>
    <m/>
    <m/>
    <s v="6597-6598"/>
    <n v="2.2959999999999998"/>
    <n v="4.681"/>
    <n v="4.681"/>
    <n v="0.51700000000000002"/>
    <n v="0.47"/>
    <m/>
    <m/>
    <m/>
  </r>
  <r>
    <s v="f118"/>
    <d v="2025-04-09T00:00:00"/>
    <n v="2"/>
    <d v="1899-12-30T09:40:00"/>
    <m/>
    <m/>
    <x v="0"/>
    <x v="0"/>
    <n v="4"/>
    <n v="118"/>
    <s v="s"/>
    <s v="na"/>
    <n v="0"/>
    <m/>
    <m/>
    <s v="6599-6600"/>
    <n v="2.0329999999999999"/>
    <n v="5.0179999999999998"/>
    <n v="4.9740000000000002"/>
    <n v="0.52100000000000002"/>
    <n v="0.372"/>
    <m/>
    <m/>
    <m/>
  </r>
  <r>
    <s v="f119"/>
    <d v="2025-04-09T00:00:00"/>
    <n v="2"/>
    <d v="1899-12-30T09:50:00"/>
    <m/>
    <m/>
    <x v="0"/>
    <x v="0"/>
    <n v="2"/>
    <n v="119"/>
    <s v="s"/>
    <s v="na"/>
    <n v="0"/>
    <m/>
    <m/>
    <s v="6601-6602"/>
    <n v="2.4750000000000001"/>
    <n v="4.9539999999999997"/>
    <n v="4.9160000000000004"/>
    <n v="0.48699999999999999"/>
    <n v="0.621"/>
    <m/>
    <m/>
    <m/>
  </r>
  <r>
    <s v="m74"/>
    <d v="2025-04-09T00:00:00"/>
    <n v="2"/>
    <d v="1899-12-30T09:50:00"/>
    <m/>
    <m/>
    <x v="1"/>
    <x v="1"/>
    <n v="2"/>
    <n v="119"/>
    <s v="s"/>
    <s v="na"/>
    <n v="0"/>
    <m/>
    <m/>
    <n v="6745"/>
    <n v="0.59799999999999998"/>
    <n v="1.99"/>
    <n v="1.851"/>
    <n v="0.17299999999999999"/>
    <n v="0.125"/>
    <m/>
    <m/>
    <m/>
  </r>
  <r>
    <s v="f120"/>
    <d v="2025-04-09T00:00:00"/>
    <n v="2"/>
    <d v="1899-12-30T09:50:00"/>
    <m/>
    <m/>
    <x v="0"/>
    <x v="0"/>
    <n v="2"/>
    <n v="120"/>
    <s v="s"/>
    <s v="na"/>
    <n v="0"/>
    <m/>
    <m/>
    <s v="6603-6604"/>
    <n v="2.0840000000000001"/>
    <n v="4.5750000000000002"/>
    <n v="4.5659999999999998"/>
    <n v="0.42699999999999999"/>
    <n v="0.60599999999999998"/>
    <m/>
    <m/>
    <m/>
  </r>
  <r>
    <s v="m75"/>
    <d v="2025-04-09T00:00:00"/>
    <n v="2"/>
    <d v="1899-12-30T09:50:00"/>
    <m/>
    <m/>
    <x v="1"/>
    <x v="1"/>
    <n v="2"/>
    <n v="120"/>
    <s v="s"/>
    <s v="na"/>
    <n v="0"/>
    <m/>
    <m/>
    <n v="6746"/>
    <n v="0.76800000000000002"/>
    <n v="2.4430000000000001"/>
    <n v="2.4409999999999998"/>
    <n v="0.189"/>
    <n v="0.123"/>
    <m/>
    <m/>
    <m/>
  </r>
  <r>
    <s v="f121"/>
    <d v="2025-04-09T00:00:00"/>
    <n v="2"/>
    <d v="1899-12-30T10:00:00"/>
    <m/>
    <m/>
    <x v="0"/>
    <x v="0"/>
    <n v="7"/>
    <n v="121"/>
    <s v="s"/>
    <s v="na"/>
    <n v="0"/>
    <m/>
    <m/>
    <s v="6605-6606"/>
    <n v="2.0329999999999999"/>
    <n v="4.6130000000000004"/>
    <n v="4.524"/>
    <n v="0.46"/>
    <n v="0.45100000000000001"/>
    <m/>
    <m/>
    <m/>
  </r>
  <r>
    <s v="m76"/>
    <d v="2025-04-09T00:00:00"/>
    <n v="2"/>
    <d v="1899-12-30T10:00:00"/>
    <m/>
    <m/>
    <x v="1"/>
    <x v="1"/>
    <n v="7"/>
    <n v="121"/>
    <s v="s"/>
    <s v="na"/>
    <n v="0"/>
    <m/>
    <m/>
    <n v="6747"/>
    <n v="0.72699999999999998"/>
    <n v="2.4969999999999999"/>
    <n v="2.4140000000000001"/>
    <n v="0.22500000000000001"/>
    <n v="0.14599999999999999"/>
    <m/>
    <m/>
    <m/>
  </r>
  <r>
    <s v="f122"/>
    <d v="2025-04-09T00:00:00"/>
    <n v="2"/>
    <d v="1899-12-30T10:00:00"/>
    <m/>
    <m/>
    <x v="0"/>
    <x v="0"/>
    <n v="7"/>
    <n v="122"/>
    <s v="s"/>
    <s v="na"/>
    <n v="0"/>
    <m/>
    <m/>
    <s v="6607-6608"/>
    <n v="2.2160000000000002"/>
    <n v="5.0540000000000003"/>
    <n v="5.0759999999999996"/>
    <n v="0.53500000000000003"/>
    <n v="0.54700000000000004"/>
    <m/>
    <m/>
    <m/>
  </r>
  <r>
    <s v="m77"/>
    <d v="2025-04-09T00:00:00"/>
    <n v="2"/>
    <d v="1899-12-30T10:00:00"/>
    <m/>
    <m/>
    <x v="1"/>
    <x v="1"/>
    <n v="7"/>
    <n v="122"/>
    <s v="s"/>
    <s v="na"/>
    <n v="0"/>
    <m/>
    <m/>
    <n v="6748"/>
    <n v="0.60799999999999998"/>
    <n v="1.857"/>
    <n v="2.1579999999999999"/>
    <n v="0.19800000000000001"/>
    <n v="0.14299999999999999"/>
    <m/>
    <m/>
    <m/>
  </r>
  <r>
    <s v="m78"/>
    <d v="2025-04-09T00:00:00"/>
    <n v="2"/>
    <d v="1899-12-30T10:00:00"/>
    <m/>
    <m/>
    <x v="1"/>
    <x v="2"/>
    <n v="7"/>
    <n v="122"/>
    <s v="s"/>
    <s v="na"/>
    <n v="0"/>
    <m/>
    <m/>
    <n v="6749"/>
    <n v="0.498"/>
    <n v="1.58"/>
    <n v="1.5660000000000001"/>
    <n v="0.14499999999999999"/>
    <n v="0.10299999999999999"/>
    <m/>
    <m/>
    <m/>
  </r>
  <r>
    <s v="f123"/>
    <d v="2025-04-09T00:00:00"/>
    <n v="2"/>
    <d v="1899-12-30T10:00:00"/>
    <m/>
    <m/>
    <x v="0"/>
    <x v="0"/>
    <n v="6"/>
    <n v="123"/>
    <s v="s"/>
    <s v="na"/>
    <n v="0"/>
    <m/>
    <m/>
    <s v="6609-6610"/>
    <n v="2.355"/>
    <n v="5.16"/>
    <n v="5.0839999999999996"/>
    <n v="0.55400000000000005"/>
    <n v="0.61499999999999999"/>
    <m/>
    <m/>
    <m/>
  </r>
  <r>
    <s v="m79"/>
    <d v="2025-04-09T00:00:00"/>
    <n v="2"/>
    <d v="1899-12-30T10:20:00"/>
    <m/>
    <m/>
    <x v="1"/>
    <x v="1"/>
    <n v="6"/>
    <n v="123"/>
    <s v="s"/>
    <s v="na"/>
    <n v="0"/>
    <m/>
    <m/>
    <n v="6750"/>
    <n v="0.77600000000000002"/>
    <n v="2.8130000000000002"/>
    <n v="2.944"/>
    <n v="0.20599999999999999"/>
    <n v="0.15"/>
    <m/>
    <m/>
    <m/>
  </r>
  <r>
    <s v="f124"/>
    <d v="2025-04-09T00:00:00"/>
    <n v="2"/>
    <d v="1899-12-30T10:20:00"/>
    <m/>
    <m/>
    <x v="0"/>
    <x v="0"/>
    <n v="3"/>
    <n v="124"/>
    <s v="s"/>
    <s v="na"/>
    <n v="0"/>
    <m/>
    <m/>
    <s v="6611-6612"/>
    <n v="1.996"/>
    <n v="4.2640000000000002"/>
    <n v="4.17"/>
    <n v="0.48"/>
    <n v="0.41699999999999998"/>
    <m/>
    <m/>
    <m/>
  </r>
  <r>
    <s v="m80"/>
    <d v="2025-04-09T00:00:00"/>
    <n v="2"/>
    <d v="1899-12-30T10:20:00"/>
    <m/>
    <m/>
    <x v="1"/>
    <x v="1"/>
    <n v="3"/>
    <n v="124"/>
    <s v="s"/>
    <s v="na"/>
    <n v="0"/>
    <m/>
    <m/>
    <n v="6751"/>
    <n v="0.68"/>
    <s v="na"/>
    <n v="2.5609999999999999"/>
    <n v="0.182"/>
    <n v="9.8000000000000004E-2"/>
    <m/>
    <m/>
    <m/>
  </r>
  <r>
    <s v="f125"/>
    <d v="2025-04-09T00:00:00"/>
    <n v="2"/>
    <d v="1899-12-30T10:30:00"/>
    <m/>
    <m/>
    <x v="0"/>
    <x v="0"/>
    <n v="3"/>
    <n v="125"/>
    <s v="s"/>
    <s v="na"/>
    <n v="0"/>
    <m/>
    <m/>
    <n v="6614"/>
    <n v="2.2290000000000001"/>
    <n v="4.3360000000000003"/>
    <n v="4.1079999999999997"/>
    <n v="0.49299999999999999"/>
    <n v="0.63900000000000001"/>
    <m/>
    <m/>
    <m/>
  </r>
  <r>
    <s v="m81"/>
    <d v="2025-04-09T00:00:00"/>
    <n v="2"/>
    <d v="1899-12-30T10:30:00"/>
    <m/>
    <m/>
    <x v="1"/>
    <x v="1"/>
    <n v="3"/>
    <n v="125"/>
    <s v="s"/>
    <s v="na"/>
    <n v="0"/>
    <m/>
    <m/>
    <n v="6752"/>
    <n v="0.83899999999999997"/>
    <s v="na"/>
    <n v="2.7749999999999999"/>
    <n v="0.221"/>
    <n v="0.16800000000000001"/>
    <m/>
    <m/>
    <m/>
  </r>
  <r>
    <s v="m82"/>
    <d v="2025-04-09T00:00:00"/>
    <n v="2"/>
    <d v="1899-12-30T10:40:00"/>
    <m/>
    <m/>
    <x v="1"/>
    <x v="2"/>
    <n v="3"/>
    <n v="125"/>
    <s v="s"/>
    <s v="na"/>
    <n v="0"/>
    <m/>
    <m/>
    <n v="6753"/>
    <n v="0.64300000000000002"/>
    <n v="2.5430000000000001"/>
    <s v="na"/>
    <n v="0.189"/>
    <n v="0.13700000000000001"/>
    <m/>
    <m/>
    <m/>
  </r>
  <r>
    <s v="f126"/>
    <d v="2025-04-09T00:00:00"/>
    <n v="2"/>
    <d v="1899-12-30T10:40:00"/>
    <m/>
    <m/>
    <x v="0"/>
    <x v="0"/>
    <n v="3"/>
    <n v="126"/>
    <s v="s"/>
    <s v="na"/>
    <n v="0"/>
    <m/>
    <m/>
    <s v="6615-6616"/>
    <n v="2.0499999999999998"/>
    <n v="4.4550000000000001"/>
    <n v="4.3949999999999996"/>
    <n v="0.47799999999999998"/>
    <n v="0.47799999999999998"/>
    <m/>
    <m/>
    <m/>
  </r>
  <r>
    <s v="m83"/>
    <d v="2025-04-09T00:00:00"/>
    <n v="2"/>
    <d v="1899-12-30T10:40:00"/>
    <m/>
    <m/>
    <x v="1"/>
    <x v="1"/>
    <n v="3"/>
    <n v="126"/>
    <s v="s"/>
    <s v="na"/>
    <n v="0"/>
    <m/>
    <m/>
    <n v="6754"/>
    <n v="0.56000000000000005"/>
    <s v="na"/>
    <n v="2.226"/>
    <n v="0.158"/>
    <n v="0.109"/>
    <m/>
    <m/>
    <m/>
  </r>
  <r>
    <s v="f217"/>
    <d v="2025-04-09T00:00:00"/>
    <n v="2"/>
    <d v="1899-12-30T10:40:00"/>
    <m/>
    <m/>
    <x v="0"/>
    <x v="0"/>
    <n v="3"/>
    <n v="127"/>
    <s v="s"/>
    <s v="na"/>
    <n v="0"/>
    <m/>
    <m/>
    <s v="6617-6619"/>
    <n v="2.278"/>
    <n v="4.6929999999999996"/>
    <n v="4.5590000000000002"/>
    <n v="0.47899999999999998"/>
    <n v="0.624"/>
    <m/>
    <m/>
    <m/>
  </r>
  <r>
    <s v="m84"/>
    <d v="2025-04-09T00:00:00"/>
    <n v="2"/>
    <d v="1899-12-30T10:40:00"/>
    <m/>
    <m/>
    <x v="1"/>
    <x v="1"/>
    <n v="3"/>
    <n v="127"/>
    <s v="s"/>
    <s v="na"/>
    <n v="0"/>
    <m/>
    <m/>
    <n v="6755"/>
    <n v="0.77700000000000002"/>
    <s v="na"/>
    <n v="2.7050000000000001"/>
    <n v="0.19700000000000001"/>
    <n v="0.14899999999999999"/>
    <m/>
    <m/>
    <m/>
  </r>
  <r>
    <s v="f128"/>
    <d v="2025-04-09T00:00:00"/>
    <n v="2"/>
    <d v="1899-12-30T10:40:00"/>
    <m/>
    <m/>
    <x v="3"/>
    <x v="0"/>
    <n v="3"/>
    <n v="128"/>
    <s v="s"/>
    <s v="na"/>
    <n v="1"/>
    <m/>
    <m/>
    <s v="6620-6621"/>
    <n v="1.6439999999999999"/>
    <n v="4.7850000000000001"/>
    <n v="4.8360000000000003"/>
    <n v="0.47899999999999998"/>
    <n v="0.317"/>
    <m/>
    <m/>
    <m/>
  </r>
  <r>
    <s v="f129"/>
    <d v="2025-04-09T00:00:00"/>
    <n v="2"/>
    <d v="1899-12-30T10:50:00"/>
    <m/>
    <m/>
    <x v="0"/>
    <x v="0"/>
    <n v="3"/>
    <n v="129"/>
    <s v="s"/>
    <s v="na"/>
    <n v="0"/>
    <m/>
    <m/>
    <s v="6622-6623"/>
    <n v="2.1509999999999998"/>
    <n v="5.1360000000000001"/>
    <n v="5.1079999999999997"/>
    <n v="0.51300000000000001"/>
    <n v="0.48799999999999999"/>
    <m/>
    <m/>
    <m/>
  </r>
  <r>
    <s v="m85"/>
    <d v="2025-04-09T00:00:00"/>
    <n v="2"/>
    <d v="1899-12-30T11:00:00"/>
    <m/>
    <m/>
    <x v="1"/>
    <x v="1"/>
    <n v="3"/>
    <n v="129"/>
    <s v="s"/>
    <s v="na"/>
    <n v="0"/>
    <m/>
    <m/>
    <n v="6756"/>
    <n v="0.68500000000000005"/>
    <n v="2.5"/>
    <s v="na"/>
    <n v="0.17499999999999999"/>
    <n v="0.11600000000000001"/>
    <m/>
    <m/>
    <m/>
  </r>
  <r>
    <s v="f130"/>
    <d v="2025-04-09T00:00:00"/>
    <n v="2"/>
    <d v="1899-12-30T11:00:00"/>
    <m/>
    <m/>
    <x v="0"/>
    <x v="0"/>
    <n v="3"/>
    <n v="130"/>
    <s v="s"/>
    <s v="na"/>
    <n v="0"/>
    <m/>
    <m/>
    <s v="6624-6625"/>
    <n v="1.829"/>
    <n v="4.5970000000000004"/>
    <n v="4.46"/>
    <n v="0.49299999999999999"/>
    <n v="0.38200000000000001"/>
    <m/>
    <m/>
    <m/>
  </r>
  <r>
    <s v="f131"/>
    <d v="2025-04-09T00:00:00"/>
    <n v="2"/>
    <d v="1899-12-30T11:00:00"/>
    <m/>
    <m/>
    <x v="0"/>
    <x v="0"/>
    <n v="3"/>
    <n v="131"/>
    <s v="s"/>
    <s v="na"/>
    <n v="0"/>
    <m/>
    <m/>
    <s v="6626-6627"/>
    <n v="2.6819999999999999"/>
    <n v="5.149"/>
    <s v="na"/>
    <n v="0.50800000000000001"/>
    <n v="0.63900000000000001"/>
    <m/>
    <m/>
    <m/>
  </r>
  <r>
    <s v="m86"/>
    <d v="2025-04-09T00:00:00"/>
    <n v="2"/>
    <d v="1899-12-30T11:00:00"/>
    <m/>
    <m/>
    <x v="1"/>
    <x v="1"/>
    <n v="3"/>
    <n v="131"/>
    <s v="s"/>
    <s v="na"/>
    <n v="0"/>
    <m/>
    <m/>
    <n v="6757"/>
    <n v="0.75800000000000001"/>
    <n v="2.613"/>
    <n v="2.581"/>
    <n v="0.23"/>
    <n v="0.157"/>
    <m/>
    <m/>
    <m/>
  </r>
  <r>
    <s v="f132"/>
    <d v="2025-04-09T00:00:00"/>
    <n v="2"/>
    <d v="1899-12-30T11:00:00"/>
    <m/>
    <m/>
    <x v="0"/>
    <x v="0"/>
    <n v="3"/>
    <n v="132"/>
    <s v="s"/>
    <s v="na"/>
    <n v="0"/>
    <m/>
    <m/>
    <n v="6628"/>
    <n v="2.0859999999999999"/>
    <s v="na"/>
    <n v="4.1619999999999999"/>
    <n v="0.47099999999999997"/>
    <n v="0.45400000000000001"/>
    <s v="Possui perna esquerda mas na foto não deu pra medir"/>
    <m/>
    <m/>
  </r>
  <r>
    <s v="m87"/>
    <d v="2025-04-09T00:00:00"/>
    <n v="2"/>
    <d v="1899-12-30T11:00:00"/>
    <m/>
    <m/>
    <x v="1"/>
    <x v="1"/>
    <n v="3"/>
    <n v="132"/>
    <s v="s"/>
    <s v="na"/>
    <n v="0"/>
    <m/>
    <m/>
    <n v="6758"/>
    <n v="0.65800000000000003"/>
    <n v="2.1859999999999999"/>
    <n v="2.16"/>
    <n v="0.17699999999999999"/>
    <n v="0.12"/>
    <m/>
    <m/>
    <m/>
  </r>
  <r>
    <s v="f133"/>
    <d v="2025-04-09T00:00:00"/>
    <n v="2"/>
    <d v="1899-12-30T11:00:00"/>
    <m/>
    <m/>
    <x v="0"/>
    <x v="0"/>
    <n v="1"/>
    <n v="133"/>
    <s v="s"/>
    <s v="na"/>
    <n v="0"/>
    <m/>
    <m/>
    <s v="6629-6630"/>
    <n v="2.2210000000000001"/>
    <n v="4.194"/>
    <n v="4.1349999999999998"/>
    <n v="0.47299999999999998"/>
    <n v="0.51300000000000001"/>
    <m/>
    <m/>
    <m/>
  </r>
  <r>
    <s v="m88"/>
    <d v="2025-04-09T00:00:00"/>
    <n v="2"/>
    <d v="1899-12-30T11:00:00"/>
    <m/>
    <m/>
    <x v="1"/>
    <x v="1"/>
    <n v="1"/>
    <n v="133"/>
    <s v="s"/>
    <s v="na"/>
    <n v="0"/>
    <m/>
    <m/>
    <n v="6759"/>
    <n v="0.85599999999999998"/>
    <n v="3.0009999999999999"/>
    <n v="2.6259999999999999"/>
    <n v="0.224"/>
    <n v="0.128"/>
    <m/>
    <m/>
    <m/>
  </r>
  <r>
    <s v="f134"/>
    <d v="2025-04-28T00:00:00"/>
    <n v="2"/>
    <d v="1899-12-30T15:05:00"/>
    <m/>
    <m/>
    <x v="0"/>
    <x v="0"/>
    <n v="5"/>
    <n v="134"/>
    <s v="a"/>
    <n v="12"/>
    <n v="0"/>
    <m/>
    <m/>
    <s v="6631-6632"/>
    <n v="2.4460000000000002"/>
    <n v="4.5789999999999997"/>
    <n v="4.7039999999999997"/>
    <n v="0.53300000000000003"/>
    <n v="0.747"/>
    <m/>
    <m/>
    <m/>
  </r>
  <r>
    <s v="m89"/>
    <d v="2025-04-28T00:00:00"/>
    <n v="2"/>
    <d v="1899-12-30T15:05:00"/>
    <m/>
    <m/>
    <x v="1"/>
    <x v="1"/>
    <n v="5"/>
    <n v="134"/>
    <s v="a"/>
    <n v="12"/>
    <n v="0"/>
    <m/>
    <m/>
    <n v="6760"/>
    <n v="0.63800000000000001"/>
    <n v="2.1859999999999999"/>
    <n v="2.214"/>
    <n v="0.17499999999999999"/>
    <n v="0.126"/>
    <m/>
    <m/>
    <m/>
  </r>
  <r>
    <s v="f135"/>
    <d v="2025-04-28T00:00:00"/>
    <n v="2"/>
    <d v="1899-12-30T15:08:00"/>
    <m/>
    <m/>
    <x v="0"/>
    <x v="0"/>
    <n v="5"/>
    <n v="135"/>
    <s v="a"/>
    <n v="12"/>
    <n v="0"/>
    <m/>
    <m/>
    <s v="6633-6634"/>
    <n v="2.3450000000000002"/>
    <n v="4.3559999999999999"/>
    <n v="4.5279999999999996"/>
    <n v="0.505"/>
    <n v="0.65100000000000002"/>
    <m/>
    <m/>
    <m/>
  </r>
  <r>
    <s v="m90"/>
    <d v="2025-04-28T00:00:00"/>
    <n v="2"/>
    <d v="1899-12-30T15:10:00"/>
    <m/>
    <m/>
    <x v="1"/>
    <x v="1"/>
    <n v="5"/>
    <n v="135"/>
    <s v="a"/>
    <n v="12"/>
    <n v="0"/>
    <m/>
    <m/>
    <n v="6761"/>
    <n v="0.78"/>
    <n v="2.573"/>
    <n v="2.516"/>
    <n v="0.21"/>
    <n v="0.152"/>
    <m/>
    <m/>
    <m/>
  </r>
  <r>
    <s v="f136"/>
    <d v="2025-04-28T00:00:00"/>
    <n v="2"/>
    <d v="1899-12-30T15:10:00"/>
    <m/>
    <m/>
    <x v="0"/>
    <x v="0"/>
    <n v="5"/>
    <n v="136"/>
    <s v="a"/>
    <n v="12"/>
    <n v="0"/>
    <m/>
    <m/>
    <s v="6636-6637"/>
    <n v="1.982"/>
    <n v="4.5529999999999999"/>
    <n v="4.3879999999999999"/>
    <n v="0.47299999999999998"/>
    <n v="0.42799999999999999"/>
    <m/>
    <m/>
    <m/>
  </r>
  <r>
    <s v="f137"/>
    <d v="2025-04-28T00:00:00"/>
    <n v="2"/>
    <m/>
    <m/>
    <m/>
    <x v="3"/>
    <x v="0"/>
    <n v="10"/>
    <n v="137"/>
    <s v="a"/>
    <n v="13"/>
    <n v="0"/>
    <m/>
    <m/>
    <s v="6638-6639"/>
    <n v="2.3580000000000001"/>
    <n v="4.6719999999999997"/>
    <n v="4.7030000000000003"/>
    <n v="0.48799999999999999"/>
    <n v="0.49299999999999999"/>
    <m/>
    <m/>
    <m/>
  </r>
  <r>
    <s v="f138"/>
    <d v="2025-04-28T00:00:00"/>
    <n v="2"/>
    <m/>
    <m/>
    <m/>
    <x v="3"/>
    <x v="0"/>
    <n v="10"/>
    <n v="138"/>
    <s v="a"/>
    <n v="13"/>
    <n v="0"/>
    <m/>
    <m/>
    <s v="6640-6641"/>
    <n v="2.117"/>
    <n v="5.0750000000000002"/>
    <n v="5.141"/>
    <n v="0.52100000000000002"/>
    <n v="0.48"/>
    <m/>
    <m/>
    <m/>
  </r>
  <r>
    <s v="f139"/>
    <d v="2025-04-28T00:00:00"/>
    <n v="2"/>
    <m/>
    <m/>
    <m/>
    <x v="3"/>
    <x v="0"/>
    <n v="10"/>
    <n v="139"/>
    <s v="a"/>
    <n v="13"/>
    <n v="1"/>
    <m/>
    <m/>
    <s v="6642-6643"/>
    <n v="1.956"/>
    <n v="4.4889999999999999"/>
    <n v="4.4950000000000001"/>
    <n v="0.43"/>
    <n v="0.4"/>
    <m/>
    <m/>
    <m/>
  </r>
  <r>
    <s v="f140"/>
    <d v="2025-04-28T00:00:00"/>
    <n v="2"/>
    <m/>
    <m/>
    <m/>
    <x v="3"/>
    <x v="0"/>
    <n v="10"/>
    <n v="140"/>
    <s v="a"/>
    <n v="13"/>
    <n v="1"/>
    <m/>
    <m/>
    <s v="6644-6645"/>
    <m/>
    <m/>
    <m/>
    <m/>
    <m/>
    <m/>
    <m/>
    <m/>
  </r>
  <r>
    <s v="f141"/>
    <d v="2025-04-28T00:00:00"/>
    <n v="2"/>
    <m/>
    <m/>
    <m/>
    <x v="3"/>
    <x v="0"/>
    <n v="10"/>
    <n v="141"/>
    <s v="a"/>
    <n v="13"/>
    <n v="0"/>
    <m/>
    <m/>
    <s v="6646-6647"/>
    <m/>
    <m/>
    <m/>
    <m/>
    <m/>
    <m/>
    <m/>
    <m/>
  </r>
  <r>
    <s v="m91"/>
    <d v="2025-04-28T00:00:00"/>
    <n v="2"/>
    <m/>
    <m/>
    <m/>
    <x v="2"/>
    <x v="1"/>
    <n v="10"/>
    <n v="141"/>
    <s v="a"/>
    <n v="13"/>
    <n v="0"/>
    <m/>
    <m/>
    <n v="6762"/>
    <m/>
    <m/>
    <m/>
    <m/>
    <m/>
    <m/>
    <m/>
    <m/>
  </r>
  <r>
    <s v="f142"/>
    <d v="2025-04-28T00:00:00"/>
    <n v="2"/>
    <m/>
    <m/>
    <m/>
    <x v="3"/>
    <x v="0"/>
    <n v="10"/>
    <n v="142"/>
    <s v="a"/>
    <n v="13"/>
    <n v="0"/>
    <m/>
    <m/>
    <s v="6648-6649"/>
    <m/>
    <m/>
    <m/>
    <m/>
    <m/>
    <m/>
    <m/>
    <m/>
  </r>
  <r>
    <s v="f143"/>
    <d v="2025-04-28T00:00:00"/>
    <n v="2"/>
    <m/>
    <m/>
    <m/>
    <x v="3"/>
    <x v="0"/>
    <n v="10"/>
    <n v="143"/>
    <s v="a"/>
    <n v="13"/>
    <n v="0"/>
    <m/>
    <m/>
    <m/>
    <m/>
    <m/>
    <m/>
    <m/>
    <m/>
    <m/>
    <m/>
    <m/>
  </r>
  <r>
    <s v="m92"/>
    <d v="2025-04-28T00:00:00"/>
    <n v="2"/>
    <m/>
    <m/>
    <m/>
    <x v="2"/>
    <x v="1"/>
    <n v="10"/>
    <n v="143"/>
    <s v="a"/>
    <n v="13"/>
    <n v="0"/>
    <m/>
    <m/>
    <n v="676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EC597-2E81-44F6-A28F-250FCF324BC9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L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471E5-0139-4AC5-9A22-AC4ED7F4797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:Q23" firstHeaderRow="1" firstDataRow="4" firstDataCol="1"/>
  <pivotFields count="16"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4">
        <item x="1"/>
        <item h="1"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Fields count="3">
    <field x="1"/>
    <field x="3"/>
    <field x="6"/>
  </colFields>
  <colItems count="15">
    <i>
      <x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/>
    </i>
    <i>
      <x v="1"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 v="1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58AFE-2B82-4F1A-B62A-A0F3CF239D3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4:M49" firstHeaderRow="1" firstDataRow="4" firstDataCol="1"/>
  <pivotFields count="16">
    <pivotField dataField="1" showAll="0"/>
    <pivotField axis="axisCol"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4">
        <item x="1"/>
        <item h="1"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Fields count="3">
    <field x="1"/>
    <field x="3"/>
    <field x="6"/>
  </colFields>
  <colItems count="8">
    <i>
      <x v="1"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 v="1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9D738-F9A1-427A-AE9C-2C08B988C8E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9:H11" firstHeaderRow="1" firstDataRow="2" firstDataCol="1"/>
  <pivotFields count="16"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Máx. de agreg" fld="7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5DBE-FAFF-40D2-ADD8-B066B4233052}">
  <sheetPr>
    <pageSetUpPr fitToPage="1"/>
  </sheetPr>
  <dimension ref="A1:Z237"/>
  <sheetViews>
    <sheetView zoomScaleNormal="100" workbookViewId="0">
      <pane xSplit="1" ySplit="1" topLeftCell="B209" activePane="bottomRight" state="frozen"/>
      <selection pane="topRight" activeCell="B1" sqref="B1"/>
      <selection pane="bottomLeft" activeCell="A2" sqref="A2"/>
      <selection pane="bottomRight" activeCell="A222" sqref="A222:B222"/>
    </sheetView>
  </sheetViews>
  <sheetFormatPr defaultColWidth="17.1796875" defaultRowHeight="14.5" x14ac:dyDescent="0.35"/>
  <cols>
    <col min="1" max="14" width="17.1796875" style="1"/>
    <col min="15" max="15" width="17.1796875" style="1" customWidth="1"/>
    <col min="16" max="16" width="17.1796875" style="2" customWidth="1"/>
    <col min="17" max="22" width="16.81640625" style="1" customWidth="1"/>
    <col min="23" max="23" width="55.81640625" style="1" bestFit="1" customWidth="1"/>
    <col min="24" max="24" width="30.453125" style="1" bestFit="1" customWidth="1"/>
    <col min="25" max="25" width="27.1796875" bestFit="1" customWidth="1"/>
    <col min="26" max="26" width="17.1796875" style="4"/>
  </cols>
  <sheetData>
    <row r="1" spans="1:26" x14ac:dyDescent="0.35">
      <c r="A1" s="1" t="s">
        <v>0</v>
      </c>
      <c r="B1" s="1" t="s">
        <v>1</v>
      </c>
      <c r="C1" s="1" t="s">
        <v>499</v>
      </c>
      <c r="D1" s="1" t="s">
        <v>468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3" t="s">
        <v>22</v>
      </c>
    </row>
    <row r="2" spans="1:26" x14ac:dyDescent="0.35">
      <c r="A2" s="1" t="s">
        <v>23</v>
      </c>
      <c r="B2" s="5">
        <v>45401</v>
      </c>
      <c r="C2" s="6">
        <f>INT((DATE(2000, MONTH(B2), DAY(B2)) - DATE(2000, 3, 12)) / 15) + 1</f>
        <v>3</v>
      </c>
      <c r="D2" s="6">
        <v>1</v>
      </c>
      <c r="E2" s="7">
        <v>0.58333333333333337</v>
      </c>
      <c r="F2" s="1" t="s">
        <v>24</v>
      </c>
      <c r="H2" s="1" t="s">
        <v>25</v>
      </c>
      <c r="I2" s="1" t="s">
        <v>26</v>
      </c>
      <c r="J2" s="1">
        <v>1</v>
      </c>
      <c r="K2" s="1">
        <v>1</v>
      </c>
      <c r="L2" s="1" t="s">
        <v>27</v>
      </c>
      <c r="M2" s="1" t="s">
        <v>26</v>
      </c>
      <c r="N2" s="1">
        <v>0</v>
      </c>
      <c r="O2" s="1">
        <v>0</v>
      </c>
      <c r="P2" s="2" t="s">
        <v>28</v>
      </c>
      <c r="Q2" s="1" t="s">
        <v>29</v>
      </c>
      <c r="R2" s="8">
        <v>2.6789999999999998</v>
      </c>
      <c r="S2" s="1">
        <v>5.4489999999999998</v>
      </c>
      <c r="T2" s="1">
        <v>5.5179999999999998</v>
      </c>
      <c r="U2" s="1">
        <v>0.59299999999999997</v>
      </c>
      <c r="V2" s="1">
        <v>0.78100000000000003</v>
      </c>
      <c r="X2" s="1" t="s">
        <v>30</v>
      </c>
      <c r="Y2" s="1"/>
    </row>
    <row r="3" spans="1:26" x14ac:dyDescent="0.35">
      <c r="A3" s="1" t="s">
        <v>31</v>
      </c>
      <c r="B3" s="5">
        <v>45401</v>
      </c>
      <c r="C3" s="6">
        <f t="shared" ref="C3:C66" si="0">INT((DATE(2000, MONTH(B3), DAY(B3)) - DATE(2000, 3, 12)) / 15) + 1</f>
        <v>3</v>
      </c>
      <c r="D3" s="6">
        <v>1</v>
      </c>
      <c r="E3" s="7">
        <v>0.58333333333333337</v>
      </c>
      <c r="F3" s="1" t="s">
        <v>24</v>
      </c>
      <c r="H3" s="1" t="s">
        <v>32</v>
      </c>
      <c r="I3" s="1" t="s">
        <v>33</v>
      </c>
      <c r="J3" s="1">
        <v>1</v>
      </c>
      <c r="K3" s="1">
        <v>1</v>
      </c>
      <c r="L3" s="1" t="s">
        <v>27</v>
      </c>
      <c r="M3" s="1" t="s">
        <v>26</v>
      </c>
      <c r="N3" s="1">
        <v>0</v>
      </c>
      <c r="O3" s="1">
        <v>0</v>
      </c>
      <c r="P3" s="2" t="s">
        <v>26</v>
      </c>
      <c r="Q3" s="1">
        <v>5640</v>
      </c>
      <c r="R3" s="1">
        <v>0.52400000000000002</v>
      </c>
      <c r="S3" s="1">
        <v>1.633</v>
      </c>
      <c r="T3" s="1">
        <v>1.6359999999999999</v>
      </c>
      <c r="U3" s="1">
        <v>0.14499999999999999</v>
      </c>
      <c r="V3" s="1">
        <v>0.121</v>
      </c>
      <c r="W3" s="1" t="s">
        <v>34</v>
      </c>
      <c r="X3" s="1" t="s">
        <v>30</v>
      </c>
      <c r="Y3" s="1"/>
    </row>
    <row r="4" spans="1:26" x14ac:dyDescent="0.35">
      <c r="A4" s="1" t="s">
        <v>35</v>
      </c>
      <c r="B4" s="5">
        <v>45401</v>
      </c>
      <c r="C4" s="6">
        <f t="shared" si="0"/>
        <v>3</v>
      </c>
      <c r="D4" s="6">
        <v>1</v>
      </c>
      <c r="E4" s="7">
        <v>0.58333333333333337</v>
      </c>
      <c r="F4" s="1" t="s">
        <v>24</v>
      </c>
      <c r="H4" s="1" t="s">
        <v>25</v>
      </c>
      <c r="I4" s="1" t="s">
        <v>26</v>
      </c>
      <c r="J4" s="1">
        <v>1</v>
      </c>
      <c r="K4" s="1">
        <v>2</v>
      </c>
      <c r="L4" s="1" t="s">
        <v>27</v>
      </c>
      <c r="M4" s="1" t="s">
        <v>26</v>
      </c>
      <c r="N4" s="1">
        <v>0</v>
      </c>
      <c r="O4" s="1">
        <v>0</v>
      </c>
      <c r="P4" s="2" t="s">
        <v>28</v>
      </c>
      <c r="Q4" s="1" t="s">
        <v>36</v>
      </c>
      <c r="R4" s="1">
        <v>2.2909999999999999</v>
      </c>
      <c r="S4" s="1" t="s">
        <v>26</v>
      </c>
      <c r="T4" s="1">
        <v>5.65</v>
      </c>
      <c r="U4" s="1">
        <v>0.60599999999999998</v>
      </c>
      <c r="V4" s="1">
        <v>0.498</v>
      </c>
      <c r="X4" s="1" t="s">
        <v>30</v>
      </c>
      <c r="Y4" s="1"/>
    </row>
    <row r="5" spans="1:26" x14ac:dyDescent="0.35">
      <c r="A5" s="1" t="s">
        <v>37</v>
      </c>
      <c r="B5" s="5">
        <v>45401</v>
      </c>
      <c r="C5" s="6">
        <f t="shared" si="0"/>
        <v>3</v>
      </c>
      <c r="D5" s="6">
        <v>1</v>
      </c>
      <c r="E5" s="7">
        <v>0.58333333333333337</v>
      </c>
      <c r="F5" s="1" t="s">
        <v>24</v>
      </c>
      <c r="H5" s="1" t="s">
        <v>32</v>
      </c>
      <c r="I5" s="1" t="s">
        <v>33</v>
      </c>
      <c r="J5" s="1">
        <v>1</v>
      </c>
      <c r="K5" s="1">
        <v>3</v>
      </c>
      <c r="L5" s="1" t="s">
        <v>38</v>
      </c>
      <c r="M5" s="1">
        <v>1</v>
      </c>
      <c r="N5" s="1">
        <v>0</v>
      </c>
      <c r="O5" s="1">
        <v>0</v>
      </c>
      <c r="P5" s="2" t="s">
        <v>26</v>
      </c>
      <c r="Q5" s="1" t="s">
        <v>39</v>
      </c>
      <c r="R5" s="1">
        <v>0.59099999999999997</v>
      </c>
      <c r="S5" s="1">
        <v>1.579</v>
      </c>
      <c r="T5" s="1">
        <v>1.8240000000000001</v>
      </c>
      <c r="U5" s="1">
        <v>0.17699999999999999</v>
      </c>
      <c r="V5" s="1">
        <v>0.112</v>
      </c>
      <c r="X5" s="1" t="s">
        <v>30</v>
      </c>
      <c r="Y5" s="1"/>
    </row>
    <row r="6" spans="1:26" x14ac:dyDescent="0.35">
      <c r="A6" s="1" t="s">
        <v>40</v>
      </c>
      <c r="B6" s="5">
        <v>45401</v>
      </c>
      <c r="C6" s="6">
        <f t="shared" si="0"/>
        <v>3</v>
      </c>
      <c r="D6" s="6">
        <v>1</v>
      </c>
      <c r="E6" s="7">
        <v>0.59027777777777779</v>
      </c>
      <c r="F6" s="1" t="s">
        <v>24</v>
      </c>
      <c r="H6" s="1" t="s">
        <v>25</v>
      </c>
      <c r="I6" s="1" t="s">
        <v>26</v>
      </c>
      <c r="J6" s="1">
        <v>1</v>
      </c>
      <c r="K6" s="1">
        <v>3</v>
      </c>
      <c r="L6" s="1" t="s">
        <v>38</v>
      </c>
      <c r="M6" s="1">
        <v>1</v>
      </c>
      <c r="N6" s="1">
        <v>0</v>
      </c>
      <c r="O6" s="1">
        <v>0</v>
      </c>
      <c r="P6" s="2" t="s">
        <v>28</v>
      </c>
      <c r="Q6" s="1" t="s">
        <v>41</v>
      </c>
      <c r="R6" s="1">
        <v>1.992</v>
      </c>
      <c r="S6" s="1">
        <v>5.0049999999999999</v>
      </c>
      <c r="T6" s="1">
        <v>4.8440000000000003</v>
      </c>
      <c r="U6" s="1">
        <v>0.49299999999999999</v>
      </c>
      <c r="V6" s="1">
        <v>0.46600000000000003</v>
      </c>
      <c r="X6" s="1" t="s">
        <v>30</v>
      </c>
      <c r="Y6" s="1"/>
    </row>
    <row r="7" spans="1:26" x14ac:dyDescent="0.35">
      <c r="A7" s="1" t="s">
        <v>42</v>
      </c>
      <c r="B7" s="5">
        <v>45401</v>
      </c>
      <c r="C7" s="6">
        <f t="shared" si="0"/>
        <v>3</v>
      </c>
      <c r="D7" s="6">
        <v>1</v>
      </c>
      <c r="E7" s="7">
        <v>0.59027777777777779</v>
      </c>
      <c r="F7" s="1" t="s">
        <v>24</v>
      </c>
      <c r="H7" s="1" t="s">
        <v>25</v>
      </c>
      <c r="I7" s="1" t="s">
        <v>26</v>
      </c>
      <c r="J7" s="1">
        <v>1</v>
      </c>
      <c r="K7" s="1">
        <v>4</v>
      </c>
      <c r="L7" s="1" t="s">
        <v>38</v>
      </c>
      <c r="M7" s="1">
        <v>1</v>
      </c>
      <c r="N7" s="1">
        <v>0</v>
      </c>
      <c r="O7" s="1">
        <v>0</v>
      </c>
      <c r="P7" s="2" t="s">
        <v>28</v>
      </c>
      <c r="Q7" s="1" t="s">
        <v>43</v>
      </c>
      <c r="R7" s="1">
        <v>2.0779999999999998</v>
      </c>
      <c r="S7" s="1" t="s">
        <v>26</v>
      </c>
      <c r="T7" s="1">
        <v>4.665</v>
      </c>
      <c r="U7" s="1">
        <v>0.51700000000000002</v>
      </c>
      <c r="V7" s="1">
        <v>0.55000000000000004</v>
      </c>
      <c r="X7" s="1" t="s">
        <v>30</v>
      </c>
      <c r="Y7" s="1"/>
    </row>
    <row r="8" spans="1:26" x14ac:dyDescent="0.35">
      <c r="A8" s="1" t="s">
        <v>44</v>
      </c>
      <c r="B8" s="5">
        <v>45401</v>
      </c>
      <c r="C8" s="6">
        <f t="shared" si="0"/>
        <v>3</v>
      </c>
      <c r="D8" s="6">
        <v>1</v>
      </c>
      <c r="E8" s="7">
        <v>0.59027777777777779</v>
      </c>
      <c r="F8" s="1" t="s">
        <v>24</v>
      </c>
      <c r="H8" s="1" t="s">
        <v>25</v>
      </c>
      <c r="I8" s="1" t="s">
        <v>26</v>
      </c>
      <c r="J8" s="1">
        <v>1</v>
      </c>
      <c r="K8" s="1">
        <v>5</v>
      </c>
      <c r="L8" s="1" t="s">
        <v>38</v>
      </c>
      <c r="M8" s="1">
        <v>1</v>
      </c>
      <c r="N8" s="1">
        <v>0</v>
      </c>
      <c r="O8" s="1">
        <v>0</v>
      </c>
      <c r="P8" s="2" t="s">
        <v>28</v>
      </c>
      <c r="Q8" s="1" t="s">
        <v>45</v>
      </c>
      <c r="R8" s="1">
        <v>2.69</v>
      </c>
      <c r="S8" s="1">
        <v>5.4349999999999996</v>
      </c>
      <c r="T8" s="1">
        <v>5.3010000000000002</v>
      </c>
      <c r="U8" s="1">
        <v>0.65</v>
      </c>
      <c r="V8" s="1">
        <v>0.626</v>
      </c>
      <c r="X8" s="1" t="s">
        <v>30</v>
      </c>
      <c r="Y8" s="1"/>
    </row>
    <row r="9" spans="1:26" x14ac:dyDescent="0.35">
      <c r="A9" s="1" t="s">
        <v>46</v>
      </c>
      <c r="B9" s="5">
        <v>45401</v>
      </c>
      <c r="C9" s="6">
        <f t="shared" si="0"/>
        <v>3</v>
      </c>
      <c r="D9" s="6">
        <v>1</v>
      </c>
      <c r="E9" s="7">
        <v>0.59027777777777779</v>
      </c>
      <c r="F9" s="1" t="s">
        <v>24</v>
      </c>
      <c r="H9" s="1" t="s">
        <v>25</v>
      </c>
      <c r="I9" s="1" t="s">
        <v>26</v>
      </c>
      <c r="J9" s="1">
        <v>1</v>
      </c>
      <c r="K9" s="1">
        <v>6</v>
      </c>
      <c r="L9" s="1" t="s">
        <v>38</v>
      </c>
      <c r="M9" s="1">
        <v>1</v>
      </c>
      <c r="N9" s="1">
        <v>0</v>
      </c>
      <c r="O9" s="1">
        <v>0</v>
      </c>
      <c r="P9" s="2" t="s">
        <v>28</v>
      </c>
      <c r="Q9" s="1" t="s">
        <v>47</v>
      </c>
      <c r="R9" s="1">
        <v>2.0910000000000002</v>
      </c>
      <c r="S9" s="1">
        <v>3.8889999999999998</v>
      </c>
      <c r="T9" s="1">
        <v>3.883</v>
      </c>
      <c r="U9" s="1">
        <v>0.44500000000000001</v>
      </c>
      <c r="V9" s="1">
        <v>0.505</v>
      </c>
      <c r="W9" s="1" t="s">
        <v>48</v>
      </c>
      <c r="X9" s="1" t="s">
        <v>30</v>
      </c>
      <c r="Y9" s="1"/>
    </row>
    <row r="10" spans="1:26" x14ac:dyDescent="0.35">
      <c r="A10" s="1" t="s">
        <v>49</v>
      </c>
      <c r="B10" s="5">
        <v>45401</v>
      </c>
      <c r="C10" s="6">
        <f t="shared" si="0"/>
        <v>3</v>
      </c>
      <c r="D10" s="6">
        <v>1</v>
      </c>
      <c r="E10" s="7">
        <v>0.59027777777777779</v>
      </c>
      <c r="F10" s="1" t="s">
        <v>24</v>
      </c>
      <c r="H10" s="1" t="s">
        <v>25</v>
      </c>
      <c r="I10" s="1" t="s">
        <v>26</v>
      </c>
      <c r="J10" s="1">
        <v>1</v>
      </c>
      <c r="K10" s="1">
        <v>7</v>
      </c>
      <c r="L10" s="1" t="s">
        <v>38</v>
      </c>
      <c r="M10" s="1">
        <v>1</v>
      </c>
      <c r="N10" s="1">
        <v>0</v>
      </c>
      <c r="O10" s="1">
        <v>2</v>
      </c>
      <c r="P10" s="2" t="s">
        <v>28</v>
      </c>
      <c r="Q10" s="1" t="s">
        <v>50</v>
      </c>
      <c r="R10" s="1">
        <v>2.2930000000000001</v>
      </c>
      <c r="S10" s="1" t="s">
        <v>26</v>
      </c>
      <c r="T10" s="1">
        <v>5.4340000000000002</v>
      </c>
      <c r="U10" s="1">
        <v>0.58899999999999997</v>
      </c>
      <c r="V10" s="1">
        <v>0.496</v>
      </c>
      <c r="X10" s="1" t="s">
        <v>30</v>
      </c>
      <c r="Y10" s="1"/>
    </row>
    <row r="11" spans="1:26" x14ac:dyDescent="0.35">
      <c r="A11" s="1" t="s">
        <v>51</v>
      </c>
      <c r="B11" s="5">
        <v>45401</v>
      </c>
      <c r="C11" s="6">
        <f t="shared" si="0"/>
        <v>3</v>
      </c>
      <c r="D11" s="6">
        <v>1</v>
      </c>
      <c r="E11" s="7">
        <v>0.6020833333333333</v>
      </c>
      <c r="F11" s="1" t="s">
        <v>24</v>
      </c>
      <c r="H11" s="1" t="s">
        <v>25</v>
      </c>
      <c r="I11" s="1" t="s">
        <v>26</v>
      </c>
      <c r="J11" s="1">
        <v>1</v>
      </c>
      <c r="K11" s="1">
        <v>8</v>
      </c>
      <c r="L11" s="1" t="s">
        <v>38</v>
      </c>
      <c r="M11" s="1">
        <v>1</v>
      </c>
      <c r="N11" s="1">
        <v>0</v>
      </c>
      <c r="O11" s="1">
        <v>0</v>
      </c>
      <c r="P11" s="2" t="s">
        <v>28</v>
      </c>
      <c r="Q11" s="1" t="s">
        <v>52</v>
      </c>
      <c r="R11" s="1">
        <v>2.3580000000000001</v>
      </c>
      <c r="S11" s="1">
        <v>6.01</v>
      </c>
      <c r="T11" s="1">
        <v>5.8390000000000004</v>
      </c>
      <c r="U11" s="1">
        <v>0.64100000000000001</v>
      </c>
      <c r="V11" s="1">
        <v>0.51</v>
      </c>
      <c r="X11" s="1" t="s">
        <v>30</v>
      </c>
      <c r="Y11" s="1"/>
    </row>
    <row r="12" spans="1:26" x14ac:dyDescent="0.35">
      <c r="A12" s="1" t="s">
        <v>53</v>
      </c>
      <c r="B12" s="5">
        <v>45401</v>
      </c>
      <c r="C12" s="6">
        <f t="shared" si="0"/>
        <v>3</v>
      </c>
      <c r="D12" s="6">
        <v>1</v>
      </c>
      <c r="E12" s="7">
        <v>0.60486111111111107</v>
      </c>
      <c r="F12" s="1" t="s">
        <v>24</v>
      </c>
      <c r="H12" s="1" t="s">
        <v>25</v>
      </c>
      <c r="I12" s="1" t="s">
        <v>26</v>
      </c>
      <c r="J12" s="1">
        <v>1</v>
      </c>
      <c r="K12" s="1">
        <v>9</v>
      </c>
      <c r="L12" s="1" t="s">
        <v>27</v>
      </c>
      <c r="M12" s="1" t="s">
        <v>26</v>
      </c>
      <c r="N12" s="1">
        <v>0</v>
      </c>
      <c r="O12" s="1">
        <v>0</v>
      </c>
      <c r="P12" s="2" t="s">
        <v>28</v>
      </c>
      <c r="Q12" s="1" t="s">
        <v>54</v>
      </c>
      <c r="R12" s="1">
        <v>2.1059999999999999</v>
      </c>
      <c r="S12" s="1">
        <v>4.8659999999999997</v>
      </c>
      <c r="T12" s="1">
        <v>4.6760000000000002</v>
      </c>
      <c r="U12" s="1">
        <v>0.495</v>
      </c>
      <c r="V12" s="1">
        <v>0.57799999999999996</v>
      </c>
      <c r="X12" s="1" t="s">
        <v>30</v>
      </c>
      <c r="Y12" s="1" t="s">
        <v>55</v>
      </c>
    </row>
    <row r="13" spans="1:26" x14ac:dyDescent="0.35">
      <c r="A13" s="1" t="s">
        <v>56</v>
      </c>
      <c r="B13" s="5">
        <v>45401</v>
      </c>
      <c r="C13" s="6">
        <f t="shared" si="0"/>
        <v>3</v>
      </c>
      <c r="D13" s="6">
        <v>1</v>
      </c>
      <c r="E13" s="7">
        <v>0.61458333333333337</v>
      </c>
      <c r="F13" s="1" t="s">
        <v>24</v>
      </c>
      <c r="H13" s="1" t="s">
        <v>32</v>
      </c>
      <c r="I13" s="1" t="s">
        <v>33</v>
      </c>
      <c r="J13" s="1">
        <v>1</v>
      </c>
      <c r="K13" s="1">
        <v>10</v>
      </c>
      <c r="L13" s="1" t="s">
        <v>27</v>
      </c>
      <c r="M13" s="1" t="s">
        <v>26</v>
      </c>
      <c r="N13" s="1">
        <v>0</v>
      </c>
      <c r="O13" s="1">
        <v>0</v>
      </c>
      <c r="P13" s="2" t="s">
        <v>26</v>
      </c>
      <c r="Q13" s="1">
        <v>5641</v>
      </c>
      <c r="R13" s="1">
        <v>0.55700000000000005</v>
      </c>
      <c r="S13" s="1" t="s">
        <v>26</v>
      </c>
      <c r="T13" s="1">
        <v>1.8979999999999999</v>
      </c>
      <c r="U13" s="1">
        <v>0.186</v>
      </c>
      <c r="V13" s="1">
        <v>0.109</v>
      </c>
      <c r="X13" s="1" t="s">
        <v>30</v>
      </c>
      <c r="Y13" s="1" t="s">
        <v>57</v>
      </c>
    </row>
    <row r="14" spans="1:26" s="16" customFormat="1" x14ac:dyDescent="0.35">
      <c r="A14" s="2" t="s">
        <v>58</v>
      </c>
      <c r="B14" s="9">
        <v>45401</v>
      </c>
      <c r="C14" s="6">
        <f t="shared" si="0"/>
        <v>3</v>
      </c>
      <c r="D14" s="10">
        <v>1</v>
      </c>
      <c r="E14" s="11">
        <v>0.61458333333333337</v>
      </c>
      <c r="F14" s="2" t="s">
        <v>24</v>
      </c>
      <c r="G14" s="2"/>
      <c r="H14" s="2" t="s">
        <v>59</v>
      </c>
      <c r="I14" s="2" t="s">
        <v>60</v>
      </c>
      <c r="J14" s="2">
        <v>1</v>
      </c>
      <c r="K14" s="2">
        <v>10</v>
      </c>
      <c r="L14" s="2" t="s">
        <v>27</v>
      </c>
      <c r="M14" s="2" t="s">
        <v>26</v>
      </c>
      <c r="N14" s="2">
        <v>0</v>
      </c>
      <c r="O14" s="2">
        <v>0</v>
      </c>
      <c r="P14" s="2" t="s">
        <v>26</v>
      </c>
      <c r="Q14" s="2" t="s">
        <v>26</v>
      </c>
      <c r="R14" s="2" t="s">
        <v>26</v>
      </c>
      <c r="S14" s="2" t="s">
        <v>26</v>
      </c>
      <c r="T14" s="2" t="s">
        <v>26</v>
      </c>
      <c r="U14" s="2" t="s">
        <v>26</v>
      </c>
      <c r="V14" s="2" t="s">
        <v>26</v>
      </c>
      <c r="W14" s="2" t="s">
        <v>61</v>
      </c>
      <c r="X14" s="2" t="s">
        <v>30</v>
      </c>
      <c r="Y14" s="2"/>
      <c r="Z14" s="15"/>
    </row>
    <row r="15" spans="1:26" x14ac:dyDescent="0.35">
      <c r="A15" s="1" t="s">
        <v>62</v>
      </c>
      <c r="B15" s="5">
        <v>45401</v>
      </c>
      <c r="C15" s="6">
        <f t="shared" si="0"/>
        <v>3</v>
      </c>
      <c r="D15" s="6">
        <v>1</v>
      </c>
      <c r="E15" s="7">
        <v>0.61458333333333337</v>
      </c>
      <c r="F15" s="1" t="s">
        <v>24</v>
      </c>
      <c r="H15" s="1" t="s">
        <v>25</v>
      </c>
      <c r="I15" s="1" t="s">
        <v>26</v>
      </c>
      <c r="J15" s="1">
        <v>1</v>
      </c>
      <c r="K15" s="1">
        <v>10</v>
      </c>
      <c r="L15" s="1" t="s">
        <v>27</v>
      </c>
      <c r="M15" s="1" t="s">
        <v>26</v>
      </c>
      <c r="N15" s="1">
        <v>0</v>
      </c>
      <c r="O15" s="1">
        <v>0</v>
      </c>
      <c r="P15" s="2" t="s">
        <v>28</v>
      </c>
      <c r="Q15" s="1" t="s">
        <v>63</v>
      </c>
      <c r="R15" s="1">
        <v>2.2690000000000001</v>
      </c>
      <c r="S15" s="1">
        <v>4.9130000000000003</v>
      </c>
      <c r="T15" s="1">
        <v>5.0620000000000003</v>
      </c>
      <c r="U15" s="1">
        <v>0.54500000000000004</v>
      </c>
      <c r="V15" s="1">
        <v>0.59099999999999997</v>
      </c>
      <c r="X15" s="1" t="s">
        <v>30</v>
      </c>
      <c r="Y15" s="1"/>
    </row>
    <row r="16" spans="1:26" x14ac:dyDescent="0.35">
      <c r="A16" s="1" t="s">
        <v>64</v>
      </c>
      <c r="B16" s="5">
        <v>45401</v>
      </c>
      <c r="C16" s="6">
        <f t="shared" si="0"/>
        <v>3</v>
      </c>
      <c r="D16" s="6">
        <v>1</v>
      </c>
      <c r="E16" s="7">
        <v>0.62222222222222223</v>
      </c>
      <c r="F16" s="1" t="s">
        <v>24</v>
      </c>
      <c r="H16" s="1" t="s">
        <v>32</v>
      </c>
      <c r="I16" s="1" t="s">
        <v>33</v>
      </c>
      <c r="J16" s="1">
        <v>1</v>
      </c>
      <c r="K16" s="1">
        <v>11</v>
      </c>
      <c r="L16" s="1" t="s">
        <v>27</v>
      </c>
      <c r="M16" s="1" t="s">
        <v>26</v>
      </c>
      <c r="N16" s="1">
        <v>0</v>
      </c>
      <c r="O16" s="1">
        <v>0</v>
      </c>
      <c r="P16" s="2" t="s">
        <v>26</v>
      </c>
      <c r="Q16" s="1">
        <v>5637</v>
      </c>
      <c r="R16" s="1">
        <v>0.88800000000000001</v>
      </c>
      <c r="S16" s="1">
        <v>3.101</v>
      </c>
      <c r="T16" s="1" t="s">
        <v>26</v>
      </c>
      <c r="U16" s="1">
        <v>0.23400000000000001</v>
      </c>
      <c r="V16" s="1">
        <v>0.17</v>
      </c>
      <c r="X16" s="1" t="s">
        <v>30</v>
      </c>
      <c r="Y16" s="1" t="s">
        <v>65</v>
      </c>
    </row>
    <row r="17" spans="1:25" x14ac:dyDescent="0.35">
      <c r="A17" s="1" t="s">
        <v>66</v>
      </c>
      <c r="B17" s="5">
        <v>45401</v>
      </c>
      <c r="C17" s="6">
        <f t="shared" si="0"/>
        <v>3</v>
      </c>
      <c r="D17" s="6">
        <v>1</v>
      </c>
      <c r="E17" s="7">
        <v>0.62222222222222223</v>
      </c>
      <c r="F17" s="1" t="s">
        <v>24</v>
      </c>
      <c r="H17" s="1" t="s">
        <v>25</v>
      </c>
      <c r="I17" s="1" t="s">
        <v>26</v>
      </c>
      <c r="J17" s="1">
        <v>1</v>
      </c>
      <c r="K17" s="1">
        <v>11</v>
      </c>
      <c r="L17" s="1" t="s">
        <v>27</v>
      </c>
      <c r="M17" s="1" t="s">
        <v>26</v>
      </c>
      <c r="N17" s="1">
        <v>0</v>
      </c>
      <c r="O17" s="1">
        <v>0</v>
      </c>
      <c r="P17" s="2" t="s">
        <v>28</v>
      </c>
      <c r="Q17" s="1" t="s">
        <v>67</v>
      </c>
      <c r="R17" s="1">
        <v>2.7069999999999999</v>
      </c>
      <c r="S17" s="1">
        <v>5.234</v>
      </c>
      <c r="T17" s="1">
        <v>4.9790000000000001</v>
      </c>
      <c r="U17" s="1">
        <v>0.60699999999999998</v>
      </c>
      <c r="V17" s="1">
        <v>0.73899999999999999</v>
      </c>
      <c r="X17" s="1" t="s">
        <v>30</v>
      </c>
      <c r="Y17" s="1"/>
    </row>
    <row r="18" spans="1:25" x14ac:dyDescent="0.35">
      <c r="A18" s="1" t="s">
        <v>68</v>
      </c>
      <c r="B18" s="5">
        <v>45401</v>
      </c>
      <c r="C18" s="6">
        <f t="shared" si="0"/>
        <v>3</v>
      </c>
      <c r="D18" s="6">
        <v>1</v>
      </c>
      <c r="E18" s="7">
        <v>0.62708333333333333</v>
      </c>
      <c r="F18" s="1" t="s">
        <v>24</v>
      </c>
      <c r="H18" s="1" t="s">
        <v>32</v>
      </c>
      <c r="I18" s="1" t="s">
        <v>60</v>
      </c>
      <c r="J18" s="1">
        <v>1</v>
      </c>
      <c r="K18" s="1">
        <v>12</v>
      </c>
      <c r="L18" s="1" t="s">
        <v>27</v>
      </c>
      <c r="M18" s="1" t="s">
        <v>26</v>
      </c>
      <c r="N18" s="1">
        <v>0</v>
      </c>
      <c r="O18" s="1">
        <v>3</v>
      </c>
      <c r="P18" s="2" t="s">
        <v>26</v>
      </c>
      <c r="Q18" s="1">
        <v>5642</v>
      </c>
      <c r="R18" s="1">
        <v>0.59299999999999997</v>
      </c>
      <c r="S18" s="1" t="s">
        <v>26</v>
      </c>
      <c r="T18" s="1" t="s">
        <v>26</v>
      </c>
      <c r="U18" s="1">
        <v>0.18099999999999999</v>
      </c>
      <c r="V18" s="1">
        <v>0.109</v>
      </c>
      <c r="X18" s="1" t="s">
        <v>30</v>
      </c>
      <c r="Y18" s="1" t="s">
        <v>69</v>
      </c>
    </row>
    <row r="19" spans="1:25" x14ac:dyDescent="0.35">
      <c r="A19" s="1" t="s">
        <v>70</v>
      </c>
      <c r="B19" s="5">
        <v>45401</v>
      </c>
      <c r="C19" s="6">
        <f t="shared" si="0"/>
        <v>3</v>
      </c>
      <c r="D19" s="6">
        <v>1</v>
      </c>
      <c r="E19" s="7">
        <v>0.62708333333333333</v>
      </c>
      <c r="F19" s="1" t="s">
        <v>24</v>
      </c>
      <c r="H19" s="1" t="s">
        <v>25</v>
      </c>
      <c r="I19" s="1" t="s">
        <v>26</v>
      </c>
      <c r="J19" s="1">
        <v>1</v>
      </c>
      <c r="K19" s="1">
        <v>12</v>
      </c>
      <c r="L19" s="1" t="s">
        <v>27</v>
      </c>
      <c r="M19" s="1" t="s">
        <v>26</v>
      </c>
      <c r="N19" s="1">
        <v>0</v>
      </c>
      <c r="O19" s="1">
        <v>3</v>
      </c>
      <c r="P19" s="2" t="s">
        <v>28</v>
      </c>
      <c r="Q19" s="1" t="s">
        <v>71</v>
      </c>
      <c r="R19" s="1">
        <v>2.7469999999999999</v>
      </c>
      <c r="S19" s="1">
        <v>5.1980000000000004</v>
      </c>
      <c r="T19" s="1">
        <v>5.1619999999999999</v>
      </c>
      <c r="U19" s="1">
        <v>0.57899999999999996</v>
      </c>
      <c r="V19" s="1">
        <v>0.71399999999999997</v>
      </c>
      <c r="W19" s="1" t="s">
        <v>72</v>
      </c>
      <c r="X19" s="1" t="s">
        <v>30</v>
      </c>
      <c r="Y19" s="1"/>
    </row>
    <row r="20" spans="1:25" x14ac:dyDescent="0.35">
      <c r="A20" s="1" t="s">
        <v>73</v>
      </c>
      <c r="B20" s="5">
        <v>45401</v>
      </c>
      <c r="C20" s="6">
        <f t="shared" si="0"/>
        <v>3</v>
      </c>
      <c r="D20" s="6">
        <v>1</v>
      </c>
      <c r="E20" s="7">
        <v>0.63958333333333328</v>
      </c>
      <c r="F20" s="1" t="s">
        <v>24</v>
      </c>
      <c r="H20" s="1" t="s">
        <v>32</v>
      </c>
      <c r="I20" s="1" t="s">
        <v>33</v>
      </c>
      <c r="J20" s="1">
        <v>1</v>
      </c>
      <c r="K20" s="1">
        <v>13</v>
      </c>
      <c r="L20" s="1" t="s">
        <v>27</v>
      </c>
      <c r="M20" s="1" t="s">
        <v>26</v>
      </c>
      <c r="N20" s="1">
        <v>0</v>
      </c>
      <c r="O20" s="1">
        <v>1</v>
      </c>
      <c r="P20" s="2" t="s">
        <v>26</v>
      </c>
      <c r="Q20" s="1">
        <v>5643</v>
      </c>
      <c r="R20" s="1">
        <v>0.65900000000000003</v>
      </c>
      <c r="S20" s="1">
        <v>2.403</v>
      </c>
      <c r="T20" s="1" t="s">
        <v>26</v>
      </c>
      <c r="U20" s="1">
        <v>0.19400000000000001</v>
      </c>
      <c r="V20" s="1">
        <v>0.109</v>
      </c>
      <c r="X20" s="1" t="s">
        <v>30</v>
      </c>
      <c r="Y20" s="1" t="s">
        <v>65</v>
      </c>
    </row>
    <row r="21" spans="1:25" x14ac:dyDescent="0.35">
      <c r="A21" s="1" t="s">
        <v>74</v>
      </c>
      <c r="B21" s="5">
        <v>45401</v>
      </c>
      <c r="C21" s="6">
        <f t="shared" si="0"/>
        <v>3</v>
      </c>
      <c r="D21" s="6">
        <v>1</v>
      </c>
      <c r="E21" s="7">
        <v>0.63958333333333328</v>
      </c>
      <c r="F21" s="1" t="s">
        <v>24</v>
      </c>
      <c r="H21" s="1" t="s">
        <v>25</v>
      </c>
      <c r="I21" s="1" t="s">
        <v>26</v>
      </c>
      <c r="J21" s="1">
        <v>1</v>
      </c>
      <c r="K21" s="1">
        <v>13</v>
      </c>
      <c r="L21" s="1" t="s">
        <v>27</v>
      </c>
      <c r="M21" s="1" t="s">
        <v>26</v>
      </c>
      <c r="N21" s="1">
        <v>0</v>
      </c>
      <c r="O21" s="1">
        <v>1</v>
      </c>
      <c r="P21" s="2" t="s">
        <v>28</v>
      </c>
      <c r="Q21" s="1" t="s">
        <v>75</v>
      </c>
      <c r="R21" s="1">
        <v>2.472</v>
      </c>
      <c r="S21" s="1">
        <v>5.63</v>
      </c>
      <c r="T21" s="1">
        <v>5.6059999999999999</v>
      </c>
      <c r="U21" s="1">
        <v>0.58699999999999997</v>
      </c>
      <c r="V21" s="1">
        <v>0.58299999999999996</v>
      </c>
      <c r="W21" s="1" t="s">
        <v>76</v>
      </c>
      <c r="X21" s="1" t="s">
        <v>30</v>
      </c>
      <c r="Y21" s="1"/>
    </row>
    <row r="22" spans="1:25" x14ac:dyDescent="0.35">
      <c r="A22" s="1" t="s">
        <v>77</v>
      </c>
      <c r="B22" s="5">
        <v>45401</v>
      </c>
      <c r="C22" s="6">
        <f t="shared" si="0"/>
        <v>3</v>
      </c>
      <c r="D22" s="6">
        <v>1</v>
      </c>
      <c r="E22" s="7">
        <v>0.65486111111111112</v>
      </c>
      <c r="F22" s="1" t="s">
        <v>24</v>
      </c>
      <c r="H22" s="1" t="s">
        <v>25</v>
      </c>
      <c r="I22" s="1" t="s">
        <v>26</v>
      </c>
      <c r="J22" s="1">
        <v>2</v>
      </c>
      <c r="K22" s="1">
        <v>14</v>
      </c>
      <c r="L22" s="1" t="s">
        <v>27</v>
      </c>
      <c r="M22" s="1" t="s">
        <v>26</v>
      </c>
      <c r="N22" s="1">
        <v>0</v>
      </c>
      <c r="O22" s="1">
        <v>1</v>
      </c>
      <c r="P22" s="2" t="s">
        <v>28</v>
      </c>
      <c r="Q22" s="1" t="s">
        <v>78</v>
      </c>
      <c r="R22" s="1">
        <v>2.4710000000000001</v>
      </c>
      <c r="S22" s="1" t="s">
        <v>26</v>
      </c>
      <c r="T22" s="1">
        <v>4.9219999999999997</v>
      </c>
      <c r="U22" s="1">
        <v>0.52600000000000002</v>
      </c>
      <c r="V22" s="1">
        <v>0.623</v>
      </c>
      <c r="X22" s="1" t="s">
        <v>30</v>
      </c>
      <c r="Y22" s="1" t="s">
        <v>55</v>
      </c>
    </row>
    <row r="23" spans="1:25" x14ac:dyDescent="0.35">
      <c r="A23" s="1" t="s">
        <v>79</v>
      </c>
      <c r="B23" s="5">
        <v>45401</v>
      </c>
      <c r="C23" s="6">
        <f t="shared" si="0"/>
        <v>3</v>
      </c>
      <c r="D23" s="6">
        <v>1</v>
      </c>
      <c r="E23" s="7">
        <v>0.65486111111111112</v>
      </c>
      <c r="F23" s="1" t="s">
        <v>24</v>
      </c>
      <c r="H23" s="1" t="s">
        <v>32</v>
      </c>
      <c r="I23" s="1" t="s">
        <v>33</v>
      </c>
      <c r="J23" s="1">
        <v>2</v>
      </c>
      <c r="K23" s="1">
        <v>14</v>
      </c>
      <c r="L23" s="1" t="s">
        <v>27</v>
      </c>
      <c r="M23" s="1" t="s">
        <v>26</v>
      </c>
      <c r="N23" s="1">
        <v>0</v>
      </c>
      <c r="O23" s="1">
        <v>1</v>
      </c>
      <c r="P23" s="2" t="s">
        <v>26</v>
      </c>
      <c r="Q23" s="1">
        <v>5644</v>
      </c>
      <c r="R23" s="1">
        <v>0.628</v>
      </c>
      <c r="S23" s="1" t="s">
        <v>26</v>
      </c>
      <c r="T23" s="1">
        <v>2.0659999999999998</v>
      </c>
      <c r="U23" s="1">
        <v>0.183</v>
      </c>
      <c r="V23" s="1">
        <v>0.115</v>
      </c>
      <c r="X23" s="1" t="s">
        <v>30</v>
      </c>
      <c r="Y23" s="1"/>
    </row>
    <row r="24" spans="1:25" x14ac:dyDescent="0.35">
      <c r="A24" s="1" t="s">
        <v>80</v>
      </c>
      <c r="B24" s="5">
        <v>45401</v>
      </c>
      <c r="C24" s="6">
        <f t="shared" si="0"/>
        <v>3</v>
      </c>
      <c r="D24" s="6">
        <v>1</v>
      </c>
      <c r="E24" s="7">
        <v>0.65486111111111112</v>
      </c>
      <c r="F24" s="1" t="s">
        <v>24</v>
      </c>
      <c r="H24" s="1" t="s">
        <v>25</v>
      </c>
      <c r="I24" s="1" t="s">
        <v>26</v>
      </c>
      <c r="J24" s="1">
        <v>2</v>
      </c>
      <c r="K24" s="1">
        <v>15</v>
      </c>
      <c r="L24" s="1" t="s">
        <v>27</v>
      </c>
      <c r="M24" s="1" t="s">
        <v>26</v>
      </c>
      <c r="N24" s="1">
        <v>0</v>
      </c>
      <c r="O24" s="1">
        <v>0</v>
      </c>
      <c r="P24" s="2" t="s">
        <v>28</v>
      </c>
      <c r="Q24" s="1" t="s">
        <v>81</v>
      </c>
      <c r="R24" s="1">
        <v>2.69</v>
      </c>
      <c r="S24" s="1">
        <v>5.1100000000000003</v>
      </c>
      <c r="T24" s="1">
        <v>5.25</v>
      </c>
      <c r="U24" s="1">
        <v>0.55400000000000005</v>
      </c>
      <c r="V24" s="1">
        <v>0.65400000000000003</v>
      </c>
      <c r="W24" s="1" t="s">
        <v>82</v>
      </c>
      <c r="X24" s="1" t="s">
        <v>30</v>
      </c>
      <c r="Y24" s="1" t="s">
        <v>55</v>
      </c>
    </row>
    <row r="25" spans="1:25" x14ac:dyDescent="0.35">
      <c r="A25" s="1" t="s">
        <v>83</v>
      </c>
      <c r="B25" s="5">
        <v>45401</v>
      </c>
      <c r="C25" s="6">
        <f t="shared" si="0"/>
        <v>3</v>
      </c>
      <c r="D25" s="6">
        <v>1</v>
      </c>
      <c r="E25" s="7">
        <v>0.66180555555555554</v>
      </c>
      <c r="F25" s="1" t="s">
        <v>24</v>
      </c>
      <c r="H25" s="1" t="s">
        <v>25</v>
      </c>
      <c r="I25" s="1" t="s">
        <v>26</v>
      </c>
      <c r="J25" s="1">
        <v>2</v>
      </c>
      <c r="K25" s="1">
        <v>16</v>
      </c>
      <c r="L25" s="1" t="s">
        <v>27</v>
      </c>
      <c r="M25" s="1" t="s">
        <v>26</v>
      </c>
      <c r="N25" s="1">
        <v>0</v>
      </c>
      <c r="O25" s="1">
        <v>1</v>
      </c>
      <c r="P25" s="2" t="s">
        <v>28</v>
      </c>
      <c r="Q25" s="1" t="s">
        <v>84</v>
      </c>
      <c r="R25" s="1">
        <v>2.456</v>
      </c>
      <c r="S25" s="1">
        <v>4.423</v>
      </c>
      <c r="T25" s="1">
        <v>4.8259999999999996</v>
      </c>
      <c r="U25" s="1">
        <v>0.53200000000000003</v>
      </c>
      <c r="V25" s="1">
        <v>0.60399999999999998</v>
      </c>
      <c r="X25" s="1" t="s">
        <v>30</v>
      </c>
      <c r="Y25" s="1"/>
    </row>
    <row r="26" spans="1:25" x14ac:dyDescent="0.35">
      <c r="A26" s="1" t="s">
        <v>85</v>
      </c>
      <c r="B26" s="5">
        <v>45401</v>
      </c>
      <c r="C26" s="6">
        <f t="shared" si="0"/>
        <v>3</v>
      </c>
      <c r="D26" s="6">
        <v>1</v>
      </c>
      <c r="E26" s="7">
        <v>0.6958333333333333</v>
      </c>
      <c r="F26" s="1" t="s">
        <v>24</v>
      </c>
      <c r="H26" s="1" t="s">
        <v>25</v>
      </c>
      <c r="I26" s="1" t="s">
        <v>26</v>
      </c>
      <c r="J26" s="1">
        <v>3</v>
      </c>
      <c r="K26" s="1">
        <v>17</v>
      </c>
      <c r="L26" s="1" t="s">
        <v>38</v>
      </c>
      <c r="M26" s="1">
        <v>2</v>
      </c>
      <c r="N26" s="1">
        <v>0</v>
      </c>
      <c r="O26" s="1">
        <v>0</v>
      </c>
      <c r="P26" s="2" t="s">
        <v>28</v>
      </c>
      <c r="Q26" s="1" t="s">
        <v>86</v>
      </c>
      <c r="R26" s="1">
        <v>2.33</v>
      </c>
      <c r="S26" s="1">
        <v>5.0510000000000002</v>
      </c>
      <c r="T26" s="1">
        <v>5.0090000000000003</v>
      </c>
      <c r="U26" s="1">
        <v>0.48399999999999999</v>
      </c>
      <c r="V26" s="1">
        <v>0.53700000000000003</v>
      </c>
      <c r="X26" s="1" t="s">
        <v>30</v>
      </c>
      <c r="Y26" s="1" t="s">
        <v>55</v>
      </c>
    </row>
    <row r="27" spans="1:25" x14ac:dyDescent="0.35">
      <c r="A27" s="1" t="s">
        <v>87</v>
      </c>
      <c r="B27" s="5">
        <v>45401</v>
      </c>
      <c r="C27" s="6">
        <f t="shared" si="0"/>
        <v>3</v>
      </c>
      <c r="D27" s="6">
        <v>1</v>
      </c>
      <c r="E27" s="7">
        <v>0.6958333333333333</v>
      </c>
      <c r="F27" s="1" t="s">
        <v>24</v>
      </c>
      <c r="H27" s="1" t="s">
        <v>25</v>
      </c>
      <c r="I27" s="1" t="s">
        <v>26</v>
      </c>
      <c r="J27" s="1">
        <v>3</v>
      </c>
      <c r="K27" s="1">
        <v>18</v>
      </c>
      <c r="L27" s="1" t="s">
        <v>38</v>
      </c>
      <c r="M27" s="1">
        <v>2</v>
      </c>
      <c r="N27" s="1">
        <v>0</v>
      </c>
      <c r="O27" s="1">
        <v>0</v>
      </c>
      <c r="P27" s="2" t="s">
        <v>28</v>
      </c>
      <c r="Q27" s="1" t="s">
        <v>88</v>
      </c>
      <c r="R27" s="1">
        <v>1.9410000000000001</v>
      </c>
      <c r="S27" s="1">
        <v>3.8220000000000001</v>
      </c>
      <c r="T27" s="1">
        <v>3.79</v>
      </c>
      <c r="U27" s="1">
        <v>0.38600000000000001</v>
      </c>
      <c r="V27" s="1">
        <v>0.498</v>
      </c>
      <c r="X27" s="1" t="s">
        <v>30</v>
      </c>
      <c r="Y27" s="1"/>
    </row>
    <row r="28" spans="1:25" x14ac:dyDescent="0.35">
      <c r="A28" s="1" t="s">
        <v>89</v>
      </c>
      <c r="B28" s="5">
        <v>45401</v>
      </c>
      <c r="C28" s="6">
        <f t="shared" si="0"/>
        <v>3</v>
      </c>
      <c r="D28" s="6">
        <v>1</v>
      </c>
      <c r="E28" s="7">
        <v>0.6958333333333333</v>
      </c>
      <c r="F28" s="1" t="s">
        <v>24</v>
      </c>
      <c r="H28" s="1" t="s">
        <v>32</v>
      </c>
      <c r="I28" s="1" t="s">
        <v>33</v>
      </c>
      <c r="J28" s="1">
        <v>3</v>
      </c>
      <c r="K28" s="1">
        <v>19</v>
      </c>
      <c r="L28" s="1" t="s">
        <v>38</v>
      </c>
      <c r="M28" s="1">
        <v>2</v>
      </c>
      <c r="N28" s="1">
        <v>0</v>
      </c>
      <c r="O28" s="1">
        <v>0</v>
      </c>
      <c r="P28" s="2" t="s">
        <v>26</v>
      </c>
      <c r="Q28" s="1">
        <v>5636</v>
      </c>
      <c r="R28" s="1">
        <v>0.89900000000000002</v>
      </c>
      <c r="S28" s="1" t="s">
        <v>26</v>
      </c>
      <c r="T28" s="1">
        <v>3.3969999999999998</v>
      </c>
      <c r="U28" s="1">
        <v>0.26</v>
      </c>
      <c r="V28" s="1">
        <v>0.17699999999999999</v>
      </c>
      <c r="X28" s="1" t="s">
        <v>30</v>
      </c>
      <c r="Y28" s="1" t="s">
        <v>57</v>
      </c>
    </row>
    <row r="29" spans="1:25" x14ac:dyDescent="0.35">
      <c r="A29" s="1" t="s">
        <v>90</v>
      </c>
      <c r="B29" s="5">
        <v>45401</v>
      </c>
      <c r="C29" s="6">
        <f t="shared" si="0"/>
        <v>3</v>
      </c>
      <c r="D29" s="6">
        <v>1</v>
      </c>
      <c r="E29" s="7">
        <v>0.6958333333333333</v>
      </c>
      <c r="F29" s="1" t="s">
        <v>24</v>
      </c>
      <c r="H29" s="1" t="s">
        <v>25</v>
      </c>
      <c r="I29" s="1" t="s">
        <v>26</v>
      </c>
      <c r="J29" s="1">
        <v>3</v>
      </c>
      <c r="K29" s="1">
        <v>19</v>
      </c>
      <c r="L29" s="1" t="s">
        <v>38</v>
      </c>
      <c r="M29" s="1">
        <v>2</v>
      </c>
      <c r="N29" s="1">
        <v>0</v>
      </c>
      <c r="O29" s="1">
        <v>0</v>
      </c>
      <c r="P29" s="2" t="s">
        <v>28</v>
      </c>
      <c r="Q29" s="1" t="s">
        <v>91</v>
      </c>
      <c r="R29" s="1">
        <v>2.7850000000000001</v>
      </c>
      <c r="S29" s="1">
        <v>5.3390000000000004</v>
      </c>
      <c r="T29" s="1">
        <v>5.38</v>
      </c>
      <c r="U29" s="1">
        <v>0.55900000000000005</v>
      </c>
      <c r="V29" s="1">
        <v>0.72899999999999998</v>
      </c>
      <c r="X29" s="1" t="s">
        <v>30</v>
      </c>
      <c r="Y29" s="1"/>
    </row>
    <row r="30" spans="1:25" x14ac:dyDescent="0.35">
      <c r="A30" s="1" t="s">
        <v>92</v>
      </c>
      <c r="B30" s="5">
        <v>45401</v>
      </c>
      <c r="C30" s="6">
        <f t="shared" si="0"/>
        <v>3</v>
      </c>
      <c r="D30" s="6">
        <v>1</v>
      </c>
      <c r="E30" s="7">
        <v>0.6958333333333333</v>
      </c>
      <c r="F30" s="1" t="s">
        <v>24</v>
      </c>
      <c r="H30" s="1" t="s">
        <v>32</v>
      </c>
      <c r="I30" s="1" t="s">
        <v>33</v>
      </c>
      <c r="J30" s="1">
        <v>3</v>
      </c>
      <c r="K30" s="1">
        <v>20</v>
      </c>
      <c r="L30" s="1" t="s">
        <v>38</v>
      </c>
      <c r="M30" s="1">
        <v>2</v>
      </c>
      <c r="N30" s="1">
        <v>0</v>
      </c>
      <c r="O30" s="1">
        <v>0</v>
      </c>
      <c r="P30" s="2" t="s">
        <v>26</v>
      </c>
      <c r="Q30" s="1">
        <v>5645</v>
      </c>
      <c r="R30" s="1">
        <v>0.54100000000000004</v>
      </c>
      <c r="S30" s="1">
        <v>1.9450000000000001</v>
      </c>
      <c r="T30" s="1" t="s">
        <v>26</v>
      </c>
      <c r="U30" s="1">
        <v>0.14499999999999999</v>
      </c>
      <c r="V30" s="1">
        <v>0.106</v>
      </c>
      <c r="X30" s="1" t="s">
        <v>30</v>
      </c>
      <c r="Y30" s="1" t="s">
        <v>65</v>
      </c>
    </row>
    <row r="31" spans="1:25" x14ac:dyDescent="0.35">
      <c r="A31" s="1" t="s">
        <v>93</v>
      </c>
      <c r="B31" s="5">
        <v>45401</v>
      </c>
      <c r="C31" s="6">
        <f t="shared" si="0"/>
        <v>3</v>
      </c>
      <c r="D31" s="6">
        <v>1</v>
      </c>
      <c r="E31" s="7">
        <v>0.6958333333333333</v>
      </c>
      <c r="F31" s="1" t="s">
        <v>24</v>
      </c>
      <c r="H31" s="1" t="s">
        <v>25</v>
      </c>
      <c r="I31" s="1" t="s">
        <v>26</v>
      </c>
      <c r="J31" s="1">
        <v>3</v>
      </c>
      <c r="K31" s="1">
        <v>20</v>
      </c>
      <c r="L31" s="1" t="s">
        <v>38</v>
      </c>
      <c r="M31" s="1">
        <v>2</v>
      </c>
      <c r="N31" s="1">
        <v>0</v>
      </c>
      <c r="O31" s="1">
        <v>0</v>
      </c>
      <c r="P31" s="2" t="s">
        <v>28</v>
      </c>
      <c r="Q31" s="1" t="s">
        <v>94</v>
      </c>
      <c r="R31" s="1">
        <v>2.4089999999999998</v>
      </c>
      <c r="S31" s="1">
        <v>5.1470000000000002</v>
      </c>
      <c r="T31" s="1">
        <v>5.282</v>
      </c>
      <c r="U31" s="1">
        <v>0.57899999999999996</v>
      </c>
      <c r="V31" s="1">
        <v>0.48799999999999999</v>
      </c>
      <c r="X31" s="1" t="s">
        <v>30</v>
      </c>
      <c r="Y31" s="1"/>
    </row>
    <row r="32" spans="1:25" x14ac:dyDescent="0.35">
      <c r="A32" s="1" t="s">
        <v>95</v>
      </c>
      <c r="B32" s="5">
        <v>45401</v>
      </c>
      <c r="C32" s="6">
        <f t="shared" si="0"/>
        <v>3</v>
      </c>
      <c r="D32" s="6">
        <v>1</v>
      </c>
      <c r="E32" s="7">
        <v>0.6958333333333333</v>
      </c>
      <c r="F32" s="1" t="s">
        <v>24</v>
      </c>
      <c r="H32" s="1" t="s">
        <v>25</v>
      </c>
      <c r="I32" s="1" t="s">
        <v>26</v>
      </c>
      <c r="J32" s="1">
        <v>3</v>
      </c>
      <c r="K32" s="1">
        <v>21</v>
      </c>
      <c r="L32" s="1" t="s">
        <v>38</v>
      </c>
      <c r="M32" s="1">
        <v>2</v>
      </c>
      <c r="N32" s="1">
        <v>0</v>
      </c>
      <c r="O32" s="1">
        <v>0</v>
      </c>
      <c r="P32" s="2" t="s">
        <v>28</v>
      </c>
      <c r="Q32" s="1" t="s">
        <v>96</v>
      </c>
      <c r="R32" s="1">
        <v>2.4359999999999999</v>
      </c>
      <c r="S32" s="1">
        <v>4.6749999999999998</v>
      </c>
      <c r="T32" s="1">
        <v>4.68</v>
      </c>
      <c r="U32" s="1">
        <v>0.495</v>
      </c>
      <c r="V32" s="1">
        <v>0.63900000000000001</v>
      </c>
      <c r="X32" s="1" t="s">
        <v>30</v>
      </c>
      <c r="Y32" s="1"/>
    </row>
    <row r="33" spans="1:26" x14ac:dyDescent="0.35">
      <c r="A33" s="1" t="s">
        <v>97</v>
      </c>
      <c r="B33" s="5">
        <v>45401</v>
      </c>
      <c r="C33" s="6">
        <f t="shared" si="0"/>
        <v>3</v>
      </c>
      <c r="D33" s="6">
        <v>1</v>
      </c>
      <c r="E33" s="7">
        <v>0.6958333333333333</v>
      </c>
      <c r="F33" s="1" t="s">
        <v>24</v>
      </c>
      <c r="H33" s="1" t="s">
        <v>25</v>
      </c>
      <c r="I33" s="1" t="s">
        <v>26</v>
      </c>
      <c r="J33" s="1">
        <v>3</v>
      </c>
      <c r="K33" s="1">
        <v>22</v>
      </c>
      <c r="L33" s="1" t="s">
        <v>38</v>
      </c>
      <c r="M33" s="1">
        <v>2</v>
      </c>
      <c r="N33" s="1">
        <v>0</v>
      </c>
      <c r="O33" s="1">
        <v>0</v>
      </c>
      <c r="P33" s="2" t="s">
        <v>28</v>
      </c>
      <c r="Q33" s="1" t="s">
        <v>98</v>
      </c>
      <c r="R33" s="1">
        <v>2.3570000000000002</v>
      </c>
      <c r="S33" s="1">
        <v>4.4610000000000003</v>
      </c>
      <c r="T33" s="1">
        <v>4.3339999999999996</v>
      </c>
      <c r="U33" s="1">
        <v>0.502</v>
      </c>
      <c r="V33" s="1">
        <v>0.51200000000000001</v>
      </c>
      <c r="W33" s="1" t="s">
        <v>99</v>
      </c>
      <c r="X33" s="1" t="s">
        <v>30</v>
      </c>
      <c r="Y33" s="1" t="s">
        <v>55</v>
      </c>
    </row>
    <row r="34" spans="1:26" x14ac:dyDescent="0.35">
      <c r="A34" s="1" t="s">
        <v>100</v>
      </c>
      <c r="B34" s="5">
        <v>45401</v>
      </c>
      <c r="C34" s="6">
        <f t="shared" si="0"/>
        <v>3</v>
      </c>
      <c r="D34" s="6">
        <v>1</v>
      </c>
      <c r="E34" s="7">
        <v>0.6958333333333333</v>
      </c>
      <c r="F34" s="1" t="s">
        <v>24</v>
      </c>
      <c r="H34" s="1" t="s">
        <v>25</v>
      </c>
      <c r="I34" s="1" t="s">
        <v>26</v>
      </c>
      <c r="J34" s="1">
        <v>3</v>
      </c>
      <c r="K34" s="1">
        <v>23</v>
      </c>
      <c r="L34" s="1" t="s">
        <v>38</v>
      </c>
      <c r="M34" s="1">
        <v>2</v>
      </c>
      <c r="N34" s="1">
        <v>0</v>
      </c>
      <c r="O34" s="1">
        <v>0</v>
      </c>
      <c r="P34" s="2" t="s">
        <v>28</v>
      </c>
      <c r="Q34" s="1" t="s">
        <v>101</v>
      </c>
      <c r="R34" s="1">
        <v>2.8279999999999998</v>
      </c>
      <c r="S34" s="1">
        <v>5.6390000000000002</v>
      </c>
      <c r="T34" s="1">
        <v>5.6719999999999997</v>
      </c>
      <c r="U34" s="1">
        <v>0.58799999999999997</v>
      </c>
      <c r="V34" s="1">
        <v>0.83899999999999997</v>
      </c>
      <c r="W34" s="1" t="s">
        <v>102</v>
      </c>
      <c r="X34" s="1" t="s">
        <v>30</v>
      </c>
      <c r="Y34" s="1"/>
    </row>
    <row r="35" spans="1:26" x14ac:dyDescent="0.35">
      <c r="A35" s="1" t="s">
        <v>103</v>
      </c>
      <c r="B35" s="5">
        <v>45401</v>
      </c>
      <c r="C35" s="6">
        <f t="shared" si="0"/>
        <v>3</v>
      </c>
      <c r="D35" s="6">
        <v>1</v>
      </c>
      <c r="E35" s="7">
        <v>0.6958333333333333</v>
      </c>
      <c r="F35" s="1" t="s">
        <v>24</v>
      </c>
      <c r="H35" s="1" t="s">
        <v>25</v>
      </c>
      <c r="I35" s="1" t="s">
        <v>26</v>
      </c>
      <c r="J35" s="1">
        <v>3</v>
      </c>
      <c r="K35" s="1">
        <v>24</v>
      </c>
      <c r="L35" s="1" t="s">
        <v>38</v>
      </c>
      <c r="M35" s="1">
        <v>2</v>
      </c>
      <c r="N35" s="1">
        <v>0</v>
      </c>
      <c r="O35" s="1">
        <v>0</v>
      </c>
      <c r="P35" s="2" t="s">
        <v>28</v>
      </c>
      <c r="Q35" s="1" t="s">
        <v>104</v>
      </c>
      <c r="R35" s="1">
        <v>2.1789999999999998</v>
      </c>
      <c r="S35" s="1" t="s">
        <v>26</v>
      </c>
      <c r="T35" s="1">
        <v>4.6390000000000002</v>
      </c>
      <c r="U35" s="1">
        <v>0.51300000000000001</v>
      </c>
      <c r="V35" s="1">
        <v>0.42499999999999999</v>
      </c>
      <c r="X35" s="1" t="s">
        <v>30</v>
      </c>
      <c r="Y35" s="1"/>
    </row>
    <row r="36" spans="1:26" x14ac:dyDescent="0.35">
      <c r="A36" s="1" t="s">
        <v>105</v>
      </c>
      <c r="B36" s="5">
        <v>45401</v>
      </c>
      <c r="C36" s="6">
        <f t="shared" si="0"/>
        <v>3</v>
      </c>
      <c r="D36" s="6">
        <v>1</v>
      </c>
      <c r="E36" s="7">
        <v>0.71527777777777779</v>
      </c>
      <c r="F36" s="1" t="s">
        <v>24</v>
      </c>
      <c r="H36" s="1" t="s">
        <v>25</v>
      </c>
      <c r="I36" s="1" t="s">
        <v>26</v>
      </c>
      <c r="J36" s="1">
        <v>3</v>
      </c>
      <c r="K36" s="1">
        <v>25</v>
      </c>
      <c r="L36" s="1" t="s">
        <v>38</v>
      </c>
      <c r="M36" s="1">
        <v>2</v>
      </c>
      <c r="N36" s="1">
        <v>0</v>
      </c>
      <c r="O36" s="1">
        <v>0</v>
      </c>
      <c r="P36" s="2" t="s">
        <v>28</v>
      </c>
      <c r="Q36" s="1" t="s">
        <v>106</v>
      </c>
      <c r="R36" s="1">
        <v>2.6930000000000001</v>
      </c>
      <c r="S36" s="1">
        <v>5.7969999999999997</v>
      </c>
      <c r="T36" s="1" t="s">
        <v>26</v>
      </c>
      <c r="U36" s="1">
        <v>0.58499999999999996</v>
      </c>
      <c r="V36" s="1">
        <v>0.55100000000000005</v>
      </c>
      <c r="X36" s="1" t="s">
        <v>30</v>
      </c>
      <c r="Y36" s="1"/>
    </row>
    <row r="37" spans="1:26" x14ac:dyDescent="0.35">
      <c r="A37" s="1" t="s">
        <v>107</v>
      </c>
      <c r="B37" s="5">
        <v>45401</v>
      </c>
      <c r="C37" s="6">
        <f t="shared" si="0"/>
        <v>3</v>
      </c>
      <c r="D37" s="6">
        <v>1</v>
      </c>
      <c r="E37" s="7">
        <v>0.71527777777777779</v>
      </c>
      <c r="F37" s="1" t="s">
        <v>24</v>
      </c>
      <c r="H37" s="1" t="s">
        <v>25</v>
      </c>
      <c r="I37" s="1" t="s">
        <v>26</v>
      </c>
      <c r="J37" s="1">
        <v>3</v>
      </c>
      <c r="K37" s="1">
        <v>26</v>
      </c>
      <c r="L37" s="1" t="s">
        <v>38</v>
      </c>
      <c r="M37" s="1">
        <v>2</v>
      </c>
      <c r="N37" s="1">
        <v>0</v>
      </c>
      <c r="O37" s="1">
        <v>0</v>
      </c>
      <c r="P37" s="2" t="s">
        <v>28</v>
      </c>
      <c r="Q37" s="1" t="s">
        <v>108</v>
      </c>
      <c r="R37" s="1">
        <v>2.3929999999999998</v>
      </c>
      <c r="S37" s="1">
        <v>4.7130000000000001</v>
      </c>
      <c r="T37" s="1">
        <v>4.6500000000000004</v>
      </c>
      <c r="U37" s="1">
        <v>0.47899999999999998</v>
      </c>
      <c r="V37" s="1">
        <v>0.60899999999999999</v>
      </c>
      <c r="X37" s="1" t="s">
        <v>30</v>
      </c>
      <c r="Y37" s="1"/>
    </row>
    <row r="38" spans="1:26" x14ac:dyDescent="0.35">
      <c r="A38" s="1" t="s">
        <v>109</v>
      </c>
      <c r="B38" s="5">
        <v>45401</v>
      </c>
      <c r="C38" s="6">
        <f t="shared" si="0"/>
        <v>3</v>
      </c>
      <c r="D38" s="6">
        <v>1</v>
      </c>
      <c r="E38" s="7">
        <v>0.71527777777777779</v>
      </c>
      <c r="F38" s="1" t="s">
        <v>24</v>
      </c>
      <c r="H38" s="1" t="s">
        <v>25</v>
      </c>
      <c r="I38" s="1" t="s">
        <v>26</v>
      </c>
      <c r="J38" s="1">
        <v>3</v>
      </c>
      <c r="K38" s="1">
        <v>27</v>
      </c>
      <c r="L38" s="1" t="s">
        <v>38</v>
      </c>
      <c r="M38" s="1">
        <v>2</v>
      </c>
      <c r="N38" s="1">
        <v>0</v>
      </c>
      <c r="O38" s="1">
        <v>0</v>
      </c>
      <c r="P38" s="2" t="s">
        <v>28</v>
      </c>
      <c r="Q38" s="1" t="s">
        <v>110</v>
      </c>
      <c r="R38" s="1">
        <v>2.4620000000000002</v>
      </c>
      <c r="S38" s="1">
        <v>5.5659999999999998</v>
      </c>
      <c r="T38" s="1">
        <v>5.4240000000000004</v>
      </c>
      <c r="U38" s="1">
        <v>0.59099999999999997</v>
      </c>
      <c r="V38" s="1">
        <v>0.58299999999999996</v>
      </c>
      <c r="X38" s="1" t="s">
        <v>30</v>
      </c>
      <c r="Y38" s="1" t="s">
        <v>55</v>
      </c>
    </row>
    <row r="39" spans="1:26" x14ac:dyDescent="0.35">
      <c r="A39" s="1" t="s">
        <v>111</v>
      </c>
      <c r="B39" s="5">
        <v>45401</v>
      </c>
      <c r="C39" s="6">
        <f t="shared" si="0"/>
        <v>3</v>
      </c>
      <c r="D39" s="6">
        <v>1</v>
      </c>
      <c r="E39" s="7">
        <v>0.71527777777777779</v>
      </c>
      <c r="F39" s="1" t="s">
        <v>24</v>
      </c>
      <c r="H39" s="1" t="s">
        <v>25</v>
      </c>
      <c r="I39" s="1" t="s">
        <v>26</v>
      </c>
      <c r="J39" s="1">
        <v>3</v>
      </c>
      <c r="K39" s="1">
        <v>28</v>
      </c>
      <c r="L39" s="1" t="s">
        <v>38</v>
      </c>
      <c r="M39" s="1">
        <v>2</v>
      </c>
      <c r="N39" s="1">
        <v>0</v>
      </c>
      <c r="O39" s="1">
        <v>0</v>
      </c>
      <c r="P39" s="2" t="s">
        <v>28</v>
      </c>
      <c r="Q39" s="1" t="s">
        <v>112</v>
      </c>
      <c r="R39" s="1">
        <v>2.218</v>
      </c>
      <c r="S39" s="1">
        <v>4.0430000000000001</v>
      </c>
      <c r="T39" s="1">
        <v>4.57</v>
      </c>
      <c r="U39" s="1">
        <v>0.49199999999999999</v>
      </c>
      <c r="V39" s="1">
        <v>0.55300000000000005</v>
      </c>
      <c r="X39" s="1" t="s">
        <v>30</v>
      </c>
      <c r="Y39" s="1"/>
    </row>
    <row r="40" spans="1:26" x14ac:dyDescent="0.35">
      <c r="A40" s="1" t="s">
        <v>113</v>
      </c>
      <c r="B40" s="5">
        <v>45401</v>
      </c>
      <c r="C40" s="6">
        <f t="shared" si="0"/>
        <v>3</v>
      </c>
      <c r="D40" s="6">
        <v>1</v>
      </c>
      <c r="E40" s="7">
        <v>0.71527777777777779</v>
      </c>
      <c r="F40" s="1" t="s">
        <v>24</v>
      </c>
      <c r="H40" s="1" t="s">
        <v>25</v>
      </c>
      <c r="I40" s="1" t="s">
        <v>26</v>
      </c>
      <c r="J40" s="1">
        <v>3</v>
      </c>
      <c r="K40" s="1">
        <v>29</v>
      </c>
      <c r="L40" s="1" t="s">
        <v>38</v>
      </c>
      <c r="M40" s="1">
        <v>2</v>
      </c>
      <c r="N40" s="1">
        <v>0</v>
      </c>
      <c r="O40" s="1">
        <v>0</v>
      </c>
      <c r="P40" s="2" t="s">
        <v>28</v>
      </c>
      <c r="Q40" s="1" t="s">
        <v>114</v>
      </c>
      <c r="R40" s="1">
        <v>2.2509999999999999</v>
      </c>
      <c r="S40" s="1">
        <v>4.7190000000000003</v>
      </c>
      <c r="T40" s="1">
        <v>4.7190000000000003</v>
      </c>
      <c r="U40" s="1">
        <v>0.46400000000000002</v>
      </c>
      <c r="V40" s="1">
        <v>0.56699999999999995</v>
      </c>
      <c r="X40" s="1" t="s">
        <v>30</v>
      </c>
      <c r="Y40" s="1"/>
    </row>
    <row r="41" spans="1:26" x14ac:dyDescent="0.35">
      <c r="A41" s="1" t="s">
        <v>115</v>
      </c>
      <c r="B41" s="5">
        <v>45404</v>
      </c>
      <c r="C41" s="6">
        <f t="shared" si="0"/>
        <v>3</v>
      </c>
      <c r="D41" s="6">
        <v>1</v>
      </c>
      <c r="E41" s="7">
        <v>0.64583333333333337</v>
      </c>
      <c r="F41" s="1" t="s">
        <v>116</v>
      </c>
      <c r="H41" s="1" t="s">
        <v>32</v>
      </c>
      <c r="I41" s="1" t="s">
        <v>33</v>
      </c>
      <c r="J41" s="1" t="s">
        <v>117</v>
      </c>
      <c r="K41" s="1">
        <v>30</v>
      </c>
      <c r="L41" s="1" t="s">
        <v>38</v>
      </c>
      <c r="M41" s="1">
        <v>3</v>
      </c>
      <c r="N41" s="1">
        <v>0</v>
      </c>
      <c r="O41" s="1">
        <v>2</v>
      </c>
      <c r="P41" s="2" t="s">
        <v>26</v>
      </c>
      <c r="Q41" s="1">
        <v>5646</v>
      </c>
      <c r="R41" s="1">
        <v>0.51100000000000001</v>
      </c>
      <c r="S41" s="1">
        <v>1.613</v>
      </c>
      <c r="T41" s="1">
        <v>1.7010000000000001</v>
      </c>
      <c r="U41" s="1">
        <v>0.182</v>
      </c>
      <c r="V41" s="1">
        <v>0.121</v>
      </c>
      <c r="Y41" s="1"/>
    </row>
    <row r="42" spans="1:26" x14ac:dyDescent="0.35">
      <c r="A42" s="1" t="s">
        <v>118</v>
      </c>
      <c r="B42" s="5">
        <v>45404</v>
      </c>
      <c r="C42" s="6">
        <f t="shared" si="0"/>
        <v>3</v>
      </c>
      <c r="D42" s="6">
        <v>1</v>
      </c>
      <c r="E42" s="7">
        <v>0.65277777777777779</v>
      </c>
      <c r="F42" s="1" t="s">
        <v>116</v>
      </c>
      <c r="H42" s="1" t="s">
        <v>25</v>
      </c>
      <c r="I42" s="1" t="s">
        <v>26</v>
      </c>
      <c r="J42" s="1" t="s">
        <v>117</v>
      </c>
      <c r="K42" s="1">
        <v>30</v>
      </c>
      <c r="L42" s="1" t="s">
        <v>38</v>
      </c>
      <c r="M42" s="1">
        <v>3</v>
      </c>
      <c r="N42" s="1">
        <v>0</v>
      </c>
      <c r="O42" s="1">
        <v>2</v>
      </c>
      <c r="P42" s="2" t="s">
        <v>28</v>
      </c>
      <c r="Q42" s="1" t="s">
        <v>119</v>
      </c>
      <c r="R42" s="1">
        <v>2.1240000000000001</v>
      </c>
      <c r="S42" s="1">
        <v>5.1260000000000003</v>
      </c>
      <c r="T42" s="1">
        <v>5.1980000000000004</v>
      </c>
      <c r="U42" s="1">
        <v>0.54</v>
      </c>
      <c r="V42" s="1">
        <v>0.47199999999999998</v>
      </c>
      <c r="Y42" s="1"/>
    </row>
    <row r="43" spans="1:26" s="16" customFormat="1" x14ac:dyDescent="0.35">
      <c r="A43" s="2" t="s">
        <v>120</v>
      </c>
      <c r="B43" s="9">
        <v>45404</v>
      </c>
      <c r="C43" s="6">
        <f t="shared" si="0"/>
        <v>3</v>
      </c>
      <c r="D43" s="10">
        <v>1</v>
      </c>
      <c r="E43" s="11">
        <v>0.65277777777777779</v>
      </c>
      <c r="F43" s="2" t="s">
        <v>116</v>
      </c>
      <c r="G43" s="2"/>
      <c r="H43" s="2" t="s">
        <v>203</v>
      </c>
      <c r="I43" s="2" t="s">
        <v>26</v>
      </c>
      <c r="J43" s="2" t="s">
        <v>117</v>
      </c>
      <c r="K43" s="2">
        <v>31</v>
      </c>
      <c r="L43" s="2" t="s">
        <v>38</v>
      </c>
      <c r="M43" s="2">
        <v>3</v>
      </c>
      <c r="N43" s="2">
        <v>0</v>
      </c>
      <c r="O43" s="2">
        <v>0</v>
      </c>
      <c r="P43" s="2" t="s">
        <v>28</v>
      </c>
      <c r="Q43" s="2" t="s">
        <v>121</v>
      </c>
      <c r="R43" s="2">
        <v>2.3519999999999999</v>
      </c>
      <c r="S43" s="2">
        <v>5.1859999999999999</v>
      </c>
      <c r="T43" s="2">
        <v>5.1109999999999998</v>
      </c>
      <c r="U43" s="2">
        <v>0.55400000000000005</v>
      </c>
      <c r="V43" s="2">
        <v>0.42399999999999999</v>
      </c>
      <c r="W43" s="2" t="s">
        <v>122</v>
      </c>
      <c r="X43" s="2"/>
      <c r="Y43" s="2"/>
      <c r="Z43" s="15"/>
    </row>
    <row r="44" spans="1:26" x14ac:dyDescent="0.35">
      <c r="A44" s="1" t="s">
        <v>123</v>
      </c>
      <c r="B44" s="5">
        <v>45404</v>
      </c>
      <c r="C44" s="6">
        <f t="shared" si="0"/>
        <v>3</v>
      </c>
      <c r="D44" s="6">
        <v>1</v>
      </c>
      <c r="E44" s="7">
        <v>0.65277777777777779</v>
      </c>
      <c r="F44" s="1" t="s">
        <v>116</v>
      </c>
      <c r="H44" s="1" t="s">
        <v>25</v>
      </c>
      <c r="I44" s="1" t="s">
        <v>26</v>
      </c>
      <c r="J44" s="1" t="s">
        <v>117</v>
      </c>
      <c r="K44" s="1">
        <v>31</v>
      </c>
      <c r="L44" s="1" t="s">
        <v>38</v>
      </c>
      <c r="M44" s="1">
        <v>3</v>
      </c>
      <c r="N44" s="1">
        <v>0</v>
      </c>
      <c r="O44" s="1">
        <v>0</v>
      </c>
      <c r="P44" s="2" t="s">
        <v>28</v>
      </c>
      <c r="Q44" s="1" t="s">
        <v>124</v>
      </c>
      <c r="R44" s="1">
        <v>2.391</v>
      </c>
      <c r="S44" s="1">
        <v>5.101</v>
      </c>
      <c r="T44" s="1">
        <v>5.0190000000000001</v>
      </c>
      <c r="U44" s="1">
        <v>0.52</v>
      </c>
      <c r="V44" s="1">
        <v>0.54200000000000004</v>
      </c>
      <c r="W44" s="1" t="s">
        <v>125</v>
      </c>
      <c r="Y44" s="1"/>
    </row>
    <row r="45" spans="1:26" x14ac:dyDescent="0.35">
      <c r="A45" s="1" t="s">
        <v>126</v>
      </c>
      <c r="B45" s="5">
        <v>45404</v>
      </c>
      <c r="C45" s="6">
        <f t="shared" si="0"/>
        <v>3</v>
      </c>
      <c r="D45" s="6">
        <v>1</v>
      </c>
      <c r="E45" s="7">
        <v>0.65625</v>
      </c>
      <c r="F45" s="1" t="s">
        <v>116</v>
      </c>
      <c r="H45" s="1" t="s">
        <v>25</v>
      </c>
      <c r="I45" s="1" t="s">
        <v>26</v>
      </c>
      <c r="J45" s="1" t="s">
        <v>117</v>
      </c>
      <c r="K45" s="1">
        <v>32</v>
      </c>
      <c r="L45" s="1" t="s">
        <v>38</v>
      </c>
      <c r="M45" s="1">
        <v>3</v>
      </c>
      <c r="N45" s="1">
        <v>0</v>
      </c>
      <c r="O45" s="1">
        <v>0</v>
      </c>
      <c r="P45" s="2" t="s">
        <v>28</v>
      </c>
      <c r="Q45" s="1" t="s">
        <v>127</v>
      </c>
      <c r="R45" s="1">
        <v>2.6659999999999999</v>
      </c>
      <c r="S45" s="1">
        <v>4.2110000000000003</v>
      </c>
      <c r="T45" s="1">
        <v>4.21</v>
      </c>
      <c r="U45" s="1">
        <v>0.56899999999999995</v>
      </c>
      <c r="V45" s="1">
        <v>0.55100000000000005</v>
      </c>
      <c r="Y45" s="1" t="s">
        <v>55</v>
      </c>
    </row>
    <row r="46" spans="1:26" x14ac:dyDescent="0.35">
      <c r="A46" s="1" t="s">
        <v>128</v>
      </c>
      <c r="B46" s="5">
        <v>45404</v>
      </c>
      <c r="C46" s="6">
        <f t="shared" si="0"/>
        <v>3</v>
      </c>
      <c r="D46" s="6">
        <v>1</v>
      </c>
      <c r="E46" s="7">
        <v>0.67361111111111116</v>
      </c>
      <c r="F46" s="1" t="s">
        <v>116</v>
      </c>
      <c r="H46" s="1" t="s">
        <v>25</v>
      </c>
      <c r="I46" s="1" t="s">
        <v>26</v>
      </c>
      <c r="J46" s="1" t="s">
        <v>117</v>
      </c>
      <c r="K46" s="1">
        <v>33</v>
      </c>
      <c r="L46" s="1" t="s">
        <v>38</v>
      </c>
      <c r="M46" s="1">
        <v>3</v>
      </c>
      <c r="N46" s="1">
        <v>0</v>
      </c>
      <c r="O46" s="1">
        <v>0</v>
      </c>
      <c r="P46" s="2" t="s">
        <v>28</v>
      </c>
      <c r="Q46" s="1" t="s">
        <v>129</v>
      </c>
      <c r="R46" s="1">
        <v>2.1960000000000002</v>
      </c>
      <c r="S46" s="1">
        <v>4.5979999999999999</v>
      </c>
      <c r="T46" s="1">
        <v>4.6369999999999996</v>
      </c>
      <c r="U46" s="1">
        <v>0.48599999999999999</v>
      </c>
      <c r="V46" s="1">
        <v>0.46400000000000002</v>
      </c>
      <c r="Y46" s="1"/>
    </row>
    <row r="47" spans="1:26" x14ac:dyDescent="0.35">
      <c r="A47" s="1" t="s">
        <v>130</v>
      </c>
      <c r="B47" s="5">
        <v>45404</v>
      </c>
      <c r="C47" s="6">
        <f t="shared" si="0"/>
        <v>3</v>
      </c>
      <c r="D47" s="6">
        <v>1</v>
      </c>
      <c r="E47" s="7">
        <v>0.67361111111111116</v>
      </c>
      <c r="F47" s="1" t="s">
        <v>116</v>
      </c>
      <c r="H47" s="1" t="s">
        <v>25</v>
      </c>
      <c r="I47" s="1" t="s">
        <v>26</v>
      </c>
      <c r="J47" s="1" t="s">
        <v>117</v>
      </c>
      <c r="K47" s="1">
        <v>34</v>
      </c>
      <c r="L47" s="1" t="s">
        <v>38</v>
      </c>
      <c r="M47" s="1">
        <v>3</v>
      </c>
      <c r="N47" s="1">
        <v>0</v>
      </c>
      <c r="O47" s="1">
        <v>0</v>
      </c>
      <c r="P47" s="2" t="s">
        <v>28</v>
      </c>
      <c r="Q47" s="1" t="s">
        <v>131</v>
      </c>
      <c r="R47" s="1">
        <v>1.782</v>
      </c>
      <c r="S47" s="1">
        <v>3.8620000000000001</v>
      </c>
      <c r="T47" s="1">
        <v>3.8479999999999999</v>
      </c>
      <c r="U47" s="1">
        <v>0.42499999999999999</v>
      </c>
      <c r="V47" s="1">
        <v>0.44400000000000001</v>
      </c>
      <c r="Y47" s="1" t="s">
        <v>55</v>
      </c>
    </row>
    <row r="48" spans="1:26" x14ac:dyDescent="0.35">
      <c r="A48" s="1" t="s">
        <v>132</v>
      </c>
      <c r="B48" s="5">
        <v>45404</v>
      </c>
      <c r="C48" s="6">
        <f t="shared" si="0"/>
        <v>3</v>
      </c>
      <c r="D48" s="6">
        <v>1</v>
      </c>
      <c r="E48" s="7">
        <v>0.67361111111111116</v>
      </c>
      <c r="F48" s="1" t="s">
        <v>116</v>
      </c>
      <c r="H48" s="1" t="s">
        <v>25</v>
      </c>
      <c r="I48" s="1" t="s">
        <v>26</v>
      </c>
      <c r="J48" s="1" t="s">
        <v>117</v>
      </c>
      <c r="K48" s="1">
        <v>35</v>
      </c>
      <c r="L48" s="1" t="s">
        <v>38</v>
      </c>
      <c r="M48" s="1">
        <v>3</v>
      </c>
      <c r="N48" s="1">
        <v>0</v>
      </c>
      <c r="O48" s="1">
        <v>0</v>
      </c>
      <c r="P48" s="2" t="s">
        <v>28</v>
      </c>
      <c r="Q48" s="1" t="s">
        <v>133</v>
      </c>
      <c r="R48" s="1">
        <v>2.6680000000000001</v>
      </c>
      <c r="S48" s="1">
        <v>6.0640000000000001</v>
      </c>
      <c r="T48" s="1">
        <v>6.0629999999999997</v>
      </c>
      <c r="U48" s="1">
        <v>0.61699999999999999</v>
      </c>
      <c r="V48" s="1">
        <v>0.48299999999999998</v>
      </c>
      <c r="Y48" s="1" t="s">
        <v>55</v>
      </c>
    </row>
    <row r="49" spans="1:25" x14ac:dyDescent="0.35">
      <c r="A49" s="1" t="s">
        <v>134</v>
      </c>
      <c r="B49" s="5">
        <v>45404</v>
      </c>
      <c r="C49" s="6">
        <f t="shared" si="0"/>
        <v>3</v>
      </c>
      <c r="D49" s="6">
        <v>1</v>
      </c>
      <c r="E49" s="7">
        <v>0.67708333333333337</v>
      </c>
      <c r="F49" s="1" t="s">
        <v>116</v>
      </c>
      <c r="H49" s="1" t="s">
        <v>25</v>
      </c>
      <c r="I49" s="1" t="s">
        <v>26</v>
      </c>
      <c r="J49" s="1" t="s">
        <v>117</v>
      </c>
      <c r="K49" s="1">
        <v>36</v>
      </c>
      <c r="L49" s="1" t="s">
        <v>38</v>
      </c>
      <c r="M49" s="1">
        <v>3</v>
      </c>
      <c r="N49" s="1">
        <v>0</v>
      </c>
      <c r="O49" s="1">
        <v>0</v>
      </c>
      <c r="P49" s="2" t="s">
        <v>28</v>
      </c>
      <c r="Q49" s="1" t="s">
        <v>135</v>
      </c>
      <c r="R49" s="1">
        <v>2.2040000000000002</v>
      </c>
      <c r="S49" s="1">
        <v>4.9630000000000001</v>
      </c>
      <c r="T49" s="1">
        <v>4.5540000000000003</v>
      </c>
      <c r="U49" s="1">
        <v>0.55400000000000005</v>
      </c>
      <c r="V49" s="1">
        <v>0.499</v>
      </c>
      <c r="Y49" s="1" t="s">
        <v>55</v>
      </c>
    </row>
    <row r="50" spans="1:25" x14ac:dyDescent="0.35">
      <c r="A50" s="1" t="s">
        <v>136</v>
      </c>
      <c r="B50" s="5">
        <v>45404</v>
      </c>
      <c r="C50" s="6">
        <f t="shared" si="0"/>
        <v>3</v>
      </c>
      <c r="D50" s="6">
        <v>1</v>
      </c>
      <c r="E50" s="7">
        <v>0.6875</v>
      </c>
      <c r="F50" s="1" t="s">
        <v>116</v>
      </c>
      <c r="H50" s="1" t="s">
        <v>25</v>
      </c>
      <c r="I50" s="1" t="s">
        <v>26</v>
      </c>
      <c r="J50" s="1" t="s">
        <v>117</v>
      </c>
      <c r="K50" s="1">
        <v>37</v>
      </c>
      <c r="L50" s="1" t="s">
        <v>38</v>
      </c>
      <c r="M50" s="1">
        <v>3</v>
      </c>
      <c r="N50" s="1">
        <v>0</v>
      </c>
      <c r="O50" s="1">
        <v>0</v>
      </c>
      <c r="P50" s="2" t="s">
        <v>28</v>
      </c>
      <c r="Q50" s="1" t="s">
        <v>137</v>
      </c>
      <c r="R50" s="1">
        <v>2.7719999999999998</v>
      </c>
      <c r="S50" s="1">
        <v>5.7229999999999999</v>
      </c>
      <c r="T50" s="1">
        <v>5.8890000000000002</v>
      </c>
      <c r="U50" s="1">
        <v>0.59399999999999997</v>
      </c>
      <c r="V50" s="1">
        <v>0.68400000000000005</v>
      </c>
      <c r="W50" s="1" t="s">
        <v>138</v>
      </c>
      <c r="Y50" s="1"/>
    </row>
    <row r="51" spans="1:25" x14ac:dyDescent="0.35">
      <c r="A51" s="2" t="s">
        <v>139</v>
      </c>
      <c r="B51" s="9">
        <v>45404</v>
      </c>
      <c r="C51" s="6">
        <f t="shared" si="0"/>
        <v>3</v>
      </c>
      <c r="D51" s="10">
        <v>1</v>
      </c>
      <c r="E51" s="11">
        <v>0.6875</v>
      </c>
      <c r="F51" s="2" t="s">
        <v>116</v>
      </c>
      <c r="G51" s="2"/>
      <c r="H51" s="2" t="s">
        <v>59</v>
      </c>
      <c r="I51" s="2" t="s">
        <v>33</v>
      </c>
      <c r="J51" s="2" t="s">
        <v>117</v>
      </c>
      <c r="K51" s="2"/>
      <c r="L51" s="2" t="s">
        <v>38</v>
      </c>
      <c r="M51" s="2">
        <v>3</v>
      </c>
      <c r="N51" s="2"/>
      <c r="O51" s="2"/>
      <c r="P51" s="2" t="s">
        <v>26</v>
      </c>
      <c r="Q51" s="2">
        <v>5647</v>
      </c>
      <c r="R51" s="2">
        <v>0.65100000000000002</v>
      </c>
      <c r="S51" s="2">
        <v>2.3340000000000001</v>
      </c>
      <c r="T51" s="2">
        <v>2.3380000000000001</v>
      </c>
      <c r="U51" s="2">
        <v>0.152</v>
      </c>
      <c r="V51" s="2">
        <v>0.129</v>
      </c>
      <c r="W51" s="2" t="s">
        <v>140</v>
      </c>
      <c r="Y51" s="2" t="s">
        <v>141</v>
      </c>
    </row>
    <row r="52" spans="1:25" x14ac:dyDescent="0.35">
      <c r="A52" s="1" t="s">
        <v>142</v>
      </c>
      <c r="B52" s="5">
        <v>45404</v>
      </c>
      <c r="C52" s="6">
        <f t="shared" si="0"/>
        <v>3</v>
      </c>
      <c r="D52" s="6">
        <v>1</v>
      </c>
      <c r="E52" s="7">
        <v>0.6875</v>
      </c>
      <c r="F52" s="1" t="s">
        <v>116</v>
      </c>
      <c r="H52" s="1" t="s">
        <v>25</v>
      </c>
      <c r="I52" s="1" t="s">
        <v>26</v>
      </c>
      <c r="J52" s="1" t="s">
        <v>117</v>
      </c>
      <c r="K52" s="1">
        <v>38</v>
      </c>
      <c r="L52" s="1" t="s">
        <v>38</v>
      </c>
      <c r="M52" s="1">
        <v>3</v>
      </c>
      <c r="N52" s="1">
        <v>0</v>
      </c>
      <c r="O52" s="1">
        <v>0</v>
      </c>
      <c r="P52" s="2" t="s">
        <v>28</v>
      </c>
      <c r="Q52" s="1" t="s">
        <v>143</v>
      </c>
      <c r="R52" s="1">
        <v>2.5619999999999998</v>
      </c>
      <c r="S52" s="1">
        <v>4.9930000000000003</v>
      </c>
      <c r="T52" s="1">
        <v>4.8780000000000001</v>
      </c>
      <c r="U52" s="1">
        <v>0.56399999999999995</v>
      </c>
      <c r="V52" s="1">
        <v>0.65300000000000002</v>
      </c>
      <c r="W52" s="1" t="s">
        <v>144</v>
      </c>
      <c r="Y52" s="1" t="s">
        <v>55</v>
      </c>
    </row>
    <row r="53" spans="1:25" x14ac:dyDescent="0.35">
      <c r="A53" s="1" t="s">
        <v>145</v>
      </c>
      <c r="B53" s="5">
        <v>45404</v>
      </c>
      <c r="C53" s="6">
        <f t="shared" si="0"/>
        <v>3</v>
      </c>
      <c r="D53" s="6">
        <v>1</v>
      </c>
      <c r="E53" s="7">
        <v>0.69444444444444442</v>
      </c>
      <c r="F53" s="1" t="s">
        <v>116</v>
      </c>
      <c r="H53" s="1" t="s">
        <v>25</v>
      </c>
      <c r="I53" s="1" t="s">
        <v>26</v>
      </c>
      <c r="J53" s="1" t="s">
        <v>117</v>
      </c>
      <c r="K53" s="1">
        <v>39</v>
      </c>
      <c r="L53" s="1" t="s">
        <v>38</v>
      </c>
      <c r="M53" s="1">
        <v>3</v>
      </c>
      <c r="N53" s="1">
        <v>0</v>
      </c>
      <c r="O53" s="1">
        <v>0</v>
      </c>
      <c r="P53" s="2" t="s">
        <v>28</v>
      </c>
      <c r="Q53" s="1" t="s">
        <v>146</v>
      </c>
      <c r="R53" s="1">
        <v>2.367</v>
      </c>
      <c r="S53" s="1">
        <v>5.3390000000000004</v>
      </c>
      <c r="T53" s="1">
        <v>5.3070000000000004</v>
      </c>
      <c r="U53" s="1">
        <v>0.62</v>
      </c>
      <c r="V53" s="1">
        <v>0.53100000000000003</v>
      </c>
      <c r="Y53" s="1"/>
    </row>
    <row r="54" spans="1:25" x14ac:dyDescent="0.35">
      <c r="A54" s="1" t="s">
        <v>147</v>
      </c>
      <c r="B54" s="5">
        <v>45404</v>
      </c>
      <c r="C54" s="6">
        <f t="shared" si="0"/>
        <v>3</v>
      </c>
      <c r="D54" s="6">
        <v>1</v>
      </c>
      <c r="E54" s="7">
        <v>0.70138888888888884</v>
      </c>
      <c r="F54" s="1" t="s">
        <v>116</v>
      </c>
      <c r="H54" s="1" t="s">
        <v>25</v>
      </c>
      <c r="I54" s="1" t="s">
        <v>26</v>
      </c>
      <c r="J54" s="1" t="s">
        <v>117</v>
      </c>
      <c r="K54" s="1">
        <v>40</v>
      </c>
      <c r="L54" s="1" t="s">
        <v>38</v>
      </c>
      <c r="M54" s="1">
        <v>3</v>
      </c>
      <c r="N54" s="1">
        <v>0</v>
      </c>
      <c r="O54" s="1">
        <v>0</v>
      </c>
      <c r="P54" s="2" t="s">
        <v>28</v>
      </c>
      <c r="Q54" s="1" t="s">
        <v>148</v>
      </c>
      <c r="R54" s="1">
        <v>2.3340000000000001</v>
      </c>
      <c r="S54" s="1">
        <v>5.2560000000000002</v>
      </c>
      <c r="T54" s="1">
        <v>5.0960000000000001</v>
      </c>
      <c r="U54" s="1">
        <v>0.47599999999999998</v>
      </c>
      <c r="V54" s="1">
        <v>0.44800000000000001</v>
      </c>
      <c r="Y54" s="1" t="s">
        <v>55</v>
      </c>
    </row>
    <row r="55" spans="1:25" x14ac:dyDescent="0.35">
      <c r="A55" s="1" t="s">
        <v>149</v>
      </c>
      <c r="B55" s="5">
        <v>45404</v>
      </c>
      <c r="C55" s="6">
        <f t="shared" si="0"/>
        <v>3</v>
      </c>
      <c r="D55" s="6">
        <v>1</v>
      </c>
      <c r="E55" s="7">
        <v>0.70138888888888884</v>
      </c>
      <c r="F55" s="1" t="s">
        <v>116</v>
      </c>
      <c r="H55" s="1" t="s">
        <v>25</v>
      </c>
      <c r="I55" s="1" t="s">
        <v>26</v>
      </c>
      <c r="J55" s="1" t="s">
        <v>117</v>
      </c>
      <c r="K55" s="1">
        <v>41</v>
      </c>
      <c r="L55" s="1" t="s">
        <v>38</v>
      </c>
      <c r="M55" s="1">
        <v>3</v>
      </c>
      <c r="N55" s="1">
        <v>0</v>
      </c>
      <c r="O55" s="1">
        <v>0</v>
      </c>
      <c r="P55" s="2" t="s">
        <v>28</v>
      </c>
      <c r="Q55" s="1" t="s">
        <v>150</v>
      </c>
      <c r="R55" s="1">
        <v>2.6349999999999998</v>
      </c>
      <c r="S55" s="1">
        <v>5.8120000000000003</v>
      </c>
      <c r="T55" s="1">
        <v>6.0869999999999997</v>
      </c>
      <c r="U55" s="1">
        <v>0.55700000000000005</v>
      </c>
      <c r="V55" s="1">
        <v>0.59599999999999997</v>
      </c>
      <c r="Y55" s="1" t="s">
        <v>55</v>
      </c>
    </row>
    <row r="56" spans="1:25" x14ac:dyDescent="0.35">
      <c r="A56" s="1" t="s">
        <v>151</v>
      </c>
      <c r="B56" s="5">
        <v>45404</v>
      </c>
      <c r="C56" s="6">
        <f t="shared" si="0"/>
        <v>3</v>
      </c>
      <c r="D56" s="6">
        <v>1</v>
      </c>
      <c r="E56" s="7">
        <v>0.70138888888888884</v>
      </c>
      <c r="F56" s="1" t="s">
        <v>116</v>
      </c>
      <c r="H56" s="1" t="s">
        <v>25</v>
      </c>
      <c r="I56" s="1" t="s">
        <v>26</v>
      </c>
      <c r="J56" s="1" t="s">
        <v>117</v>
      </c>
      <c r="K56" s="1">
        <v>42</v>
      </c>
      <c r="L56" s="1" t="s">
        <v>38</v>
      </c>
      <c r="M56" s="1">
        <v>3</v>
      </c>
      <c r="O56" s="1">
        <v>0</v>
      </c>
      <c r="P56" s="2" t="s">
        <v>28</v>
      </c>
      <c r="Q56" s="1" t="s">
        <v>152</v>
      </c>
      <c r="R56" s="1">
        <v>2.5619999999999998</v>
      </c>
      <c r="S56" s="1">
        <v>5.641</v>
      </c>
      <c r="T56" s="1">
        <v>5.6849999999999996</v>
      </c>
      <c r="U56" s="1">
        <v>0.63300000000000001</v>
      </c>
      <c r="V56" s="1">
        <v>0.46</v>
      </c>
      <c r="Y56" s="1" t="s">
        <v>55</v>
      </c>
    </row>
    <row r="57" spans="1:25" x14ac:dyDescent="0.35">
      <c r="A57" s="1" t="s">
        <v>153</v>
      </c>
      <c r="B57" s="5">
        <v>45404</v>
      </c>
      <c r="C57" s="6">
        <f t="shared" si="0"/>
        <v>3</v>
      </c>
      <c r="D57" s="6">
        <v>1</v>
      </c>
      <c r="E57" s="7">
        <v>0.70138888888888884</v>
      </c>
      <c r="F57" s="1" t="s">
        <v>116</v>
      </c>
      <c r="H57" s="1" t="s">
        <v>25</v>
      </c>
      <c r="I57" s="1" t="s">
        <v>26</v>
      </c>
      <c r="J57" s="1" t="s">
        <v>117</v>
      </c>
      <c r="K57" s="1">
        <v>43</v>
      </c>
      <c r="L57" s="1" t="s">
        <v>38</v>
      </c>
      <c r="M57" s="1">
        <v>3</v>
      </c>
      <c r="O57" s="1">
        <v>0</v>
      </c>
      <c r="P57" s="2" t="s">
        <v>28</v>
      </c>
      <c r="Q57" s="1" t="s">
        <v>154</v>
      </c>
      <c r="R57" s="1">
        <v>2.508</v>
      </c>
      <c r="S57" s="1">
        <v>5.0670000000000002</v>
      </c>
      <c r="T57" s="1">
        <v>5.1760000000000002</v>
      </c>
      <c r="U57" s="1">
        <v>0.54500000000000004</v>
      </c>
      <c r="V57" s="1">
        <v>0.61899999999999999</v>
      </c>
      <c r="Y57" s="1"/>
    </row>
    <row r="58" spans="1:25" x14ac:dyDescent="0.35">
      <c r="A58" s="1" t="s">
        <v>155</v>
      </c>
      <c r="B58" s="5">
        <v>45404</v>
      </c>
      <c r="C58" s="6">
        <f t="shared" si="0"/>
        <v>3</v>
      </c>
      <c r="D58" s="6">
        <v>1</v>
      </c>
      <c r="E58" s="7">
        <v>0.70138888888888884</v>
      </c>
      <c r="F58" s="1" t="s">
        <v>116</v>
      </c>
      <c r="H58" s="1" t="s">
        <v>25</v>
      </c>
      <c r="I58" s="1" t="s">
        <v>26</v>
      </c>
      <c r="J58" s="1" t="s">
        <v>117</v>
      </c>
      <c r="K58" s="1">
        <v>44</v>
      </c>
      <c r="L58" s="1" t="s">
        <v>38</v>
      </c>
      <c r="M58" s="1">
        <v>3</v>
      </c>
      <c r="O58" s="1">
        <v>0</v>
      </c>
      <c r="P58" s="2" t="s">
        <v>28</v>
      </c>
      <c r="Q58" s="1" t="s">
        <v>156</v>
      </c>
      <c r="R58" s="1">
        <v>2.35</v>
      </c>
      <c r="S58" s="1">
        <v>4.8029999999999999</v>
      </c>
      <c r="T58" s="1">
        <v>4.8360000000000003</v>
      </c>
      <c r="U58" s="1">
        <v>0.499</v>
      </c>
      <c r="V58" s="1">
        <v>0.54400000000000004</v>
      </c>
      <c r="Y58" s="1" t="s">
        <v>157</v>
      </c>
    </row>
    <row r="59" spans="1:25" x14ac:dyDescent="0.35">
      <c r="A59" s="1" t="s">
        <v>158</v>
      </c>
      <c r="B59" s="5">
        <v>45404</v>
      </c>
      <c r="C59" s="6">
        <f t="shared" si="0"/>
        <v>3</v>
      </c>
      <c r="D59" s="6">
        <v>1</v>
      </c>
      <c r="E59" s="7">
        <v>0.70833333333333337</v>
      </c>
      <c r="F59" s="1" t="s">
        <v>116</v>
      </c>
      <c r="H59" s="1" t="s">
        <v>32</v>
      </c>
      <c r="I59" s="1" t="s">
        <v>33</v>
      </c>
      <c r="J59" s="1" t="s">
        <v>117</v>
      </c>
      <c r="K59" s="1">
        <v>45</v>
      </c>
      <c r="L59" s="1" t="s">
        <v>38</v>
      </c>
      <c r="M59" s="1">
        <v>4</v>
      </c>
      <c r="N59" s="1">
        <v>0</v>
      </c>
      <c r="O59" s="1">
        <v>0</v>
      </c>
      <c r="P59" s="2" t="s">
        <v>26</v>
      </c>
      <c r="Q59" s="1">
        <v>5648</v>
      </c>
      <c r="R59" s="1">
        <v>0.65500000000000003</v>
      </c>
      <c r="S59" s="1">
        <v>2.1739999999999999</v>
      </c>
      <c r="T59" s="1" t="s">
        <v>26</v>
      </c>
      <c r="U59" s="1">
        <v>0.17100000000000001</v>
      </c>
      <c r="V59" s="1">
        <v>0.109</v>
      </c>
      <c r="Y59" s="1" t="s">
        <v>65</v>
      </c>
    </row>
    <row r="60" spans="1:25" x14ac:dyDescent="0.35">
      <c r="A60" s="1" t="s">
        <v>159</v>
      </c>
      <c r="B60" s="5">
        <v>45404</v>
      </c>
      <c r="C60" s="6">
        <f t="shared" si="0"/>
        <v>3</v>
      </c>
      <c r="D60" s="6">
        <v>1</v>
      </c>
      <c r="E60" s="7">
        <v>0.70833333333333337</v>
      </c>
      <c r="F60" s="1" t="s">
        <v>116</v>
      </c>
      <c r="H60" s="1" t="s">
        <v>32</v>
      </c>
      <c r="I60" s="1" t="s">
        <v>60</v>
      </c>
      <c r="J60" s="1" t="s">
        <v>117</v>
      </c>
      <c r="K60" s="1">
        <v>45</v>
      </c>
      <c r="L60" s="1" t="s">
        <v>38</v>
      </c>
      <c r="M60" s="1">
        <v>4</v>
      </c>
      <c r="N60" s="1">
        <v>0</v>
      </c>
      <c r="O60" s="1">
        <v>0</v>
      </c>
      <c r="P60" s="2" t="s">
        <v>26</v>
      </c>
      <c r="Q60" s="1">
        <v>5649</v>
      </c>
      <c r="R60" s="1">
        <v>0.44800000000000001</v>
      </c>
      <c r="S60" s="1">
        <v>1.5109999999999999</v>
      </c>
      <c r="T60" s="1">
        <v>1.5009999999999999</v>
      </c>
      <c r="U60" s="1">
        <v>0.14399999999999999</v>
      </c>
      <c r="V60" s="1">
        <v>0.10100000000000001</v>
      </c>
      <c r="Y60" s="1"/>
    </row>
    <row r="61" spans="1:25" x14ac:dyDescent="0.35">
      <c r="A61" s="1" t="s">
        <v>160</v>
      </c>
      <c r="B61" s="5">
        <v>45404</v>
      </c>
      <c r="C61" s="6">
        <f t="shared" si="0"/>
        <v>3</v>
      </c>
      <c r="D61" s="6">
        <v>1</v>
      </c>
      <c r="E61" s="7">
        <v>0.70833333333333337</v>
      </c>
      <c r="F61" s="1" t="s">
        <v>116</v>
      </c>
      <c r="H61" s="1" t="s">
        <v>25</v>
      </c>
      <c r="I61" s="1" t="s">
        <v>26</v>
      </c>
      <c r="J61" s="1" t="s">
        <v>117</v>
      </c>
      <c r="K61" s="1">
        <v>45</v>
      </c>
      <c r="L61" s="1" t="s">
        <v>38</v>
      </c>
      <c r="M61" s="1">
        <v>4</v>
      </c>
      <c r="N61" s="1">
        <v>0</v>
      </c>
      <c r="O61" s="1">
        <v>0</v>
      </c>
      <c r="P61" s="2" t="s">
        <v>28</v>
      </c>
      <c r="Q61" s="1" t="s">
        <v>161</v>
      </c>
      <c r="R61" s="1">
        <v>1.258</v>
      </c>
      <c r="S61" s="1">
        <v>3.8069999999999999</v>
      </c>
      <c r="T61" s="1">
        <v>3.7719999999999998</v>
      </c>
      <c r="U61" s="1">
        <v>0.35</v>
      </c>
      <c r="V61" s="1">
        <v>0.28499999999999998</v>
      </c>
      <c r="Y61" s="1" t="s">
        <v>55</v>
      </c>
    </row>
    <row r="62" spans="1:25" x14ac:dyDescent="0.35">
      <c r="A62" s="1" t="s">
        <v>162</v>
      </c>
      <c r="B62" s="5">
        <v>45404</v>
      </c>
      <c r="C62" s="6">
        <f t="shared" si="0"/>
        <v>3</v>
      </c>
      <c r="D62" s="6">
        <v>1</v>
      </c>
      <c r="E62" s="7">
        <v>0.70833333333333337</v>
      </c>
      <c r="F62" s="1" t="s">
        <v>116</v>
      </c>
      <c r="H62" s="1" t="s">
        <v>32</v>
      </c>
      <c r="I62" s="1" t="s">
        <v>33</v>
      </c>
      <c r="J62" s="1" t="s">
        <v>117</v>
      </c>
      <c r="K62" s="1">
        <v>46</v>
      </c>
      <c r="L62" s="1" t="s">
        <v>38</v>
      </c>
      <c r="M62" s="1">
        <v>4</v>
      </c>
      <c r="N62" s="1">
        <v>0</v>
      </c>
      <c r="O62" s="1">
        <v>0</v>
      </c>
      <c r="P62" s="2" t="s">
        <v>26</v>
      </c>
      <c r="Q62" s="1">
        <v>5650</v>
      </c>
      <c r="R62" s="1">
        <v>0.48799999999999999</v>
      </c>
      <c r="S62" s="1" t="s">
        <v>26</v>
      </c>
      <c r="T62" s="1">
        <v>1.694</v>
      </c>
      <c r="U62" s="1">
        <v>0.16700000000000001</v>
      </c>
      <c r="V62" s="1">
        <v>0.124</v>
      </c>
      <c r="Y62" s="1" t="s">
        <v>57</v>
      </c>
    </row>
    <row r="63" spans="1:25" x14ac:dyDescent="0.35">
      <c r="A63" s="1" t="s">
        <v>163</v>
      </c>
      <c r="B63" s="5">
        <v>45404</v>
      </c>
      <c r="C63" s="6">
        <f t="shared" si="0"/>
        <v>3</v>
      </c>
      <c r="D63" s="6">
        <v>1</v>
      </c>
      <c r="E63" s="7">
        <v>0.70833333333333337</v>
      </c>
      <c r="F63" s="1" t="s">
        <v>116</v>
      </c>
      <c r="H63" s="1" t="s">
        <v>25</v>
      </c>
      <c r="I63" s="1" t="s">
        <v>26</v>
      </c>
      <c r="J63" s="1" t="s">
        <v>117</v>
      </c>
      <c r="K63" s="1">
        <v>46</v>
      </c>
      <c r="L63" s="1" t="s">
        <v>38</v>
      </c>
      <c r="M63" s="1">
        <v>4</v>
      </c>
      <c r="N63" s="1">
        <v>0</v>
      </c>
      <c r="O63" s="1">
        <v>0</v>
      </c>
      <c r="P63" s="2" t="s">
        <v>28</v>
      </c>
      <c r="Q63" s="1" t="s">
        <v>164</v>
      </c>
      <c r="R63" s="1">
        <v>2.0310000000000001</v>
      </c>
      <c r="S63" s="1">
        <v>4.4749999999999996</v>
      </c>
      <c r="T63" s="1">
        <v>4.6239999999999997</v>
      </c>
      <c r="U63" s="1">
        <v>0.497</v>
      </c>
      <c r="V63" s="1">
        <v>0.36499999999999999</v>
      </c>
      <c r="Y63" s="1"/>
    </row>
    <row r="64" spans="1:25" x14ac:dyDescent="0.35">
      <c r="A64" s="1" t="s">
        <v>165</v>
      </c>
      <c r="B64" s="5">
        <v>45404</v>
      </c>
      <c r="C64" s="6">
        <f t="shared" si="0"/>
        <v>3</v>
      </c>
      <c r="D64" s="6">
        <v>1</v>
      </c>
      <c r="E64" s="7">
        <v>0.70833333333333337</v>
      </c>
      <c r="F64" s="1" t="s">
        <v>116</v>
      </c>
      <c r="H64" s="1" t="s">
        <v>25</v>
      </c>
      <c r="I64" s="1" t="s">
        <v>26</v>
      </c>
      <c r="J64" s="1" t="s">
        <v>117</v>
      </c>
      <c r="K64" s="1">
        <v>47</v>
      </c>
      <c r="L64" s="1" t="s">
        <v>38</v>
      </c>
      <c r="M64" s="1">
        <v>4</v>
      </c>
      <c r="N64" s="1">
        <v>0</v>
      </c>
      <c r="O64" s="1">
        <v>0</v>
      </c>
      <c r="P64" s="2" t="s">
        <v>28</v>
      </c>
      <c r="Q64" s="1" t="s">
        <v>166</v>
      </c>
      <c r="R64" s="1">
        <v>2.3130000000000002</v>
      </c>
      <c r="S64" s="1">
        <v>4.9610000000000003</v>
      </c>
      <c r="T64" s="1">
        <v>4.8049999999999997</v>
      </c>
      <c r="U64" s="1">
        <v>0.54900000000000004</v>
      </c>
      <c r="V64" s="1">
        <v>0.441</v>
      </c>
      <c r="Y64" s="1"/>
    </row>
    <row r="65" spans="1:25" x14ac:dyDescent="0.35">
      <c r="A65" s="1" t="s">
        <v>167</v>
      </c>
      <c r="B65" s="5">
        <v>45404</v>
      </c>
      <c r="C65" s="6">
        <f t="shared" si="0"/>
        <v>3</v>
      </c>
      <c r="D65" s="6">
        <v>1</v>
      </c>
      <c r="E65" s="7">
        <v>0.71527777777777779</v>
      </c>
      <c r="F65" s="1" t="s">
        <v>116</v>
      </c>
      <c r="H65" s="1" t="s">
        <v>25</v>
      </c>
      <c r="I65" s="1" t="s">
        <v>26</v>
      </c>
      <c r="J65" s="1" t="s">
        <v>117</v>
      </c>
      <c r="K65" s="1">
        <v>48</v>
      </c>
      <c r="L65" s="1" t="s">
        <v>38</v>
      </c>
      <c r="M65" s="1">
        <v>4</v>
      </c>
      <c r="N65" s="1">
        <v>0</v>
      </c>
      <c r="O65" s="1">
        <v>0</v>
      </c>
      <c r="P65" s="2" t="s">
        <v>28</v>
      </c>
      <c r="Q65" s="1" t="s">
        <v>168</v>
      </c>
      <c r="R65" s="1">
        <v>2.2690000000000001</v>
      </c>
      <c r="S65" s="1">
        <v>5.4690000000000003</v>
      </c>
      <c r="T65" s="1">
        <v>5.5570000000000004</v>
      </c>
      <c r="U65" s="1">
        <v>0.54300000000000004</v>
      </c>
      <c r="V65" s="1">
        <v>0.438</v>
      </c>
      <c r="Y65" s="1"/>
    </row>
    <row r="66" spans="1:25" x14ac:dyDescent="0.35">
      <c r="A66" s="1" t="s">
        <v>169</v>
      </c>
      <c r="B66" s="5">
        <v>45407</v>
      </c>
      <c r="C66" s="6">
        <f t="shared" si="0"/>
        <v>3</v>
      </c>
      <c r="D66" s="6">
        <v>1</v>
      </c>
      <c r="E66" s="7">
        <v>0.4236111111111111</v>
      </c>
      <c r="F66" s="1" t="s">
        <v>170</v>
      </c>
      <c r="H66" s="1" t="s">
        <v>25</v>
      </c>
      <c r="I66" s="1" t="s">
        <v>26</v>
      </c>
      <c r="J66" s="1">
        <v>1</v>
      </c>
      <c r="K66" s="1">
        <v>49</v>
      </c>
      <c r="L66" s="1" t="s">
        <v>27</v>
      </c>
      <c r="M66" s="1" t="s">
        <v>26</v>
      </c>
      <c r="N66" s="1">
        <v>0</v>
      </c>
      <c r="O66" s="1">
        <v>0</v>
      </c>
      <c r="P66" s="2" t="s">
        <v>28</v>
      </c>
      <c r="Q66" s="1" t="s">
        <v>171</v>
      </c>
      <c r="R66" s="1">
        <v>2.698</v>
      </c>
      <c r="S66" s="1">
        <v>5.9859999999999998</v>
      </c>
      <c r="T66" s="1">
        <v>5.8159999999999998</v>
      </c>
      <c r="U66" s="1">
        <v>0.63</v>
      </c>
      <c r="V66" s="1">
        <v>0.64</v>
      </c>
      <c r="W66" s="1" t="s">
        <v>172</v>
      </c>
      <c r="Y66" s="1"/>
    </row>
    <row r="67" spans="1:25" x14ac:dyDescent="0.35">
      <c r="A67" s="1" t="s">
        <v>173</v>
      </c>
      <c r="B67" s="5">
        <v>45407</v>
      </c>
      <c r="C67" s="6">
        <f t="shared" ref="C67:C130" si="1">INT((DATE(2000, MONTH(B67), DAY(B67)) - DATE(2000, 3, 12)) / 15) + 1</f>
        <v>3</v>
      </c>
      <c r="D67" s="6">
        <v>1</v>
      </c>
      <c r="E67" s="7">
        <v>0.43055555555555558</v>
      </c>
      <c r="F67" s="1" t="s">
        <v>170</v>
      </c>
      <c r="H67" s="1" t="s">
        <v>25</v>
      </c>
      <c r="I67" s="1" t="s">
        <v>26</v>
      </c>
      <c r="J67" s="1">
        <v>1</v>
      </c>
      <c r="K67" s="1">
        <v>50</v>
      </c>
      <c r="L67" s="1" t="s">
        <v>27</v>
      </c>
      <c r="M67" s="1" t="s">
        <v>26</v>
      </c>
      <c r="N67" s="1">
        <v>0</v>
      </c>
      <c r="O67" s="1">
        <v>7</v>
      </c>
      <c r="P67" s="2" t="s">
        <v>28</v>
      </c>
      <c r="Q67" s="1" t="s">
        <v>174</v>
      </c>
      <c r="R67" s="1">
        <v>1.9410000000000001</v>
      </c>
      <c r="S67" s="1">
        <v>4.1319999999999997</v>
      </c>
      <c r="T67" s="1">
        <v>4.2279999999999998</v>
      </c>
      <c r="U67" s="1">
        <v>0.46899999999999997</v>
      </c>
      <c r="V67" s="1">
        <v>0.51200000000000001</v>
      </c>
      <c r="Y67" s="1"/>
    </row>
    <row r="68" spans="1:25" x14ac:dyDescent="0.35">
      <c r="A68" s="1" t="s">
        <v>175</v>
      </c>
      <c r="B68" s="5">
        <v>45407</v>
      </c>
      <c r="C68" s="6">
        <f t="shared" si="1"/>
        <v>3</v>
      </c>
      <c r="D68" s="6">
        <v>1</v>
      </c>
      <c r="E68" s="7">
        <v>0.44097222222222221</v>
      </c>
      <c r="F68" s="1" t="s">
        <v>170</v>
      </c>
      <c r="H68" s="1" t="s">
        <v>25</v>
      </c>
      <c r="I68" s="1" t="s">
        <v>26</v>
      </c>
      <c r="J68" s="1">
        <v>4</v>
      </c>
      <c r="K68" s="1">
        <v>51</v>
      </c>
      <c r="L68" s="1" t="s">
        <v>27</v>
      </c>
      <c r="M68" s="1" t="s">
        <v>26</v>
      </c>
      <c r="N68" s="1">
        <v>0</v>
      </c>
      <c r="O68" s="1">
        <v>0</v>
      </c>
      <c r="P68" s="2" t="s">
        <v>28</v>
      </c>
      <c r="Q68" s="1" t="s">
        <v>176</v>
      </c>
      <c r="R68" s="1">
        <v>2.2120000000000002</v>
      </c>
      <c r="S68" s="1">
        <v>4.5819999999999999</v>
      </c>
      <c r="T68" s="1">
        <v>4.5640000000000001</v>
      </c>
      <c r="U68" s="1">
        <v>0.45300000000000001</v>
      </c>
      <c r="V68" s="1">
        <v>0.54700000000000004</v>
      </c>
      <c r="W68" s="1" t="s">
        <v>177</v>
      </c>
      <c r="Y68" s="1"/>
    </row>
    <row r="69" spans="1:25" x14ac:dyDescent="0.35">
      <c r="A69" s="1" t="s">
        <v>178</v>
      </c>
      <c r="B69" s="5">
        <v>45407</v>
      </c>
      <c r="C69" s="6">
        <f t="shared" si="1"/>
        <v>3</v>
      </c>
      <c r="D69" s="6">
        <v>1</v>
      </c>
      <c r="E69" s="7">
        <v>0.44097222222222221</v>
      </c>
      <c r="F69" s="1" t="s">
        <v>170</v>
      </c>
      <c r="H69" s="1" t="s">
        <v>32</v>
      </c>
      <c r="I69" s="1" t="s">
        <v>33</v>
      </c>
      <c r="J69" s="1">
        <v>4</v>
      </c>
      <c r="K69" s="1">
        <v>51</v>
      </c>
      <c r="L69" s="1" t="s">
        <v>27</v>
      </c>
      <c r="M69" s="1" t="s">
        <v>26</v>
      </c>
      <c r="N69" s="1">
        <v>0</v>
      </c>
      <c r="O69" s="1">
        <v>0</v>
      </c>
      <c r="P69" s="2" t="s">
        <v>26</v>
      </c>
      <c r="Q69" s="1">
        <v>5651</v>
      </c>
      <c r="R69" s="1">
        <v>0.67</v>
      </c>
      <c r="S69" s="1">
        <v>2.78</v>
      </c>
      <c r="T69" s="1">
        <v>2.7149999999999999</v>
      </c>
      <c r="U69" s="1">
        <v>0.22</v>
      </c>
      <c r="V69" s="1">
        <v>0.13600000000000001</v>
      </c>
      <c r="Y69" s="1"/>
    </row>
    <row r="70" spans="1:25" x14ac:dyDescent="0.35">
      <c r="A70" s="1" t="s">
        <v>179</v>
      </c>
      <c r="B70" s="5">
        <v>45407</v>
      </c>
      <c r="C70" s="6">
        <f t="shared" si="1"/>
        <v>3</v>
      </c>
      <c r="D70" s="6">
        <v>1</v>
      </c>
      <c r="E70" s="7">
        <v>0.44791666666666669</v>
      </c>
      <c r="F70" s="1" t="s">
        <v>170</v>
      </c>
      <c r="H70" s="1" t="s">
        <v>25</v>
      </c>
      <c r="I70" s="1" t="s">
        <v>26</v>
      </c>
      <c r="J70" s="1">
        <v>4</v>
      </c>
      <c r="K70" s="1">
        <v>52</v>
      </c>
      <c r="L70" s="1" t="s">
        <v>27</v>
      </c>
      <c r="M70" s="1" t="s">
        <v>26</v>
      </c>
      <c r="N70" s="1">
        <v>0</v>
      </c>
      <c r="O70" s="1">
        <v>0</v>
      </c>
      <c r="P70" s="2" t="s">
        <v>28</v>
      </c>
      <c r="Q70" s="1" t="s">
        <v>180</v>
      </c>
      <c r="R70" s="1">
        <v>2.4849999999999999</v>
      </c>
      <c r="S70" s="1">
        <v>5.72</v>
      </c>
      <c r="T70" s="1">
        <v>5.6829999999999998</v>
      </c>
      <c r="U70" s="1">
        <v>0.59899999999999998</v>
      </c>
      <c r="V70" s="1">
        <v>0.56000000000000005</v>
      </c>
      <c r="Y70" s="1"/>
    </row>
    <row r="71" spans="1:25" x14ac:dyDescent="0.35">
      <c r="A71" s="1" t="s">
        <v>181</v>
      </c>
      <c r="B71" s="5">
        <v>45407</v>
      </c>
      <c r="C71" s="6">
        <f t="shared" si="1"/>
        <v>3</v>
      </c>
      <c r="D71" s="6">
        <v>1</v>
      </c>
      <c r="E71" s="7">
        <v>0.44791666666666669</v>
      </c>
      <c r="F71" s="1" t="s">
        <v>170</v>
      </c>
      <c r="H71" s="1" t="s">
        <v>32</v>
      </c>
      <c r="I71" s="1" t="s">
        <v>33</v>
      </c>
      <c r="J71" s="1">
        <v>4</v>
      </c>
      <c r="K71" s="1">
        <v>52</v>
      </c>
      <c r="L71" s="1" t="s">
        <v>27</v>
      </c>
      <c r="M71" s="1" t="s">
        <v>26</v>
      </c>
      <c r="N71" s="1">
        <v>0</v>
      </c>
      <c r="O71" s="1">
        <v>0</v>
      </c>
      <c r="P71" s="2" t="s">
        <v>26</v>
      </c>
      <c r="Q71" s="1">
        <v>5632</v>
      </c>
      <c r="R71" s="1">
        <v>0.82399999999999995</v>
      </c>
      <c r="S71" s="1">
        <v>3.0030000000000001</v>
      </c>
      <c r="T71" s="1">
        <v>2.9990000000000001</v>
      </c>
      <c r="U71" s="1">
        <v>0.22500000000000001</v>
      </c>
      <c r="V71" s="1">
        <v>0.13400000000000001</v>
      </c>
      <c r="Y71" s="1"/>
    </row>
    <row r="72" spans="1:25" x14ac:dyDescent="0.35">
      <c r="A72" s="1" t="s">
        <v>182</v>
      </c>
      <c r="B72" s="5">
        <v>45407</v>
      </c>
      <c r="C72" s="6">
        <f t="shared" si="1"/>
        <v>3</v>
      </c>
      <c r="D72" s="6">
        <v>1</v>
      </c>
      <c r="E72" s="7">
        <v>0.4548611111111111</v>
      </c>
      <c r="F72" s="1" t="s">
        <v>170</v>
      </c>
      <c r="H72" s="1" t="s">
        <v>25</v>
      </c>
      <c r="I72" s="1" t="s">
        <v>26</v>
      </c>
      <c r="J72" s="1">
        <v>4</v>
      </c>
      <c r="K72" s="1">
        <v>53</v>
      </c>
      <c r="L72" s="1" t="s">
        <v>27</v>
      </c>
      <c r="M72" s="1" t="s">
        <v>26</v>
      </c>
      <c r="N72" s="1">
        <v>0</v>
      </c>
      <c r="O72" s="1">
        <v>0</v>
      </c>
      <c r="P72" s="2" t="s">
        <v>28</v>
      </c>
      <c r="Q72" s="1" t="s">
        <v>183</v>
      </c>
      <c r="R72" s="1">
        <v>2.1789999999999998</v>
      </c>
      <c r="S72" s="1">
        <v>4.2460000000000004</v>
      </c>
      <c r="T72" s="1">
        <v>4.1589999999999998</v>
      </c>
      <c r="U72" s="1">
        <v>0.45800000000000002</v>
      </c>
      <c r="V72" s="1">
        <v>0.52</v>
      </c>
      <c r="W72" s="1" t="s">
        <v>177</v>
      </c>
      <c r="Y72" s="1" t="s">
        <v>55</v>
      </c>
    </row>
    <row r="73" spans="1:25" x14ac:dyDescent="0.35">
      <c r="A73" s="1" t="s">
        <v>184</v>
      </c>
      <c r="B73" s="5">
        <v>45407</v>
      </c>
      <c r="C73" s="6">
        <f t="shared" si="1"/>
        <v>3</v>
      </c>
      <c r="D73" s="6">
        <v>1</v>
      </c>
      <c r="E73" s="7">
        <v>0.46180555555555558</v>
      </c>
      <c r="F73" s="1" t="s">
        <v>170</v>
      </c>
      <c r="H73" s="1" t="s">
        <v>25</v>
      </c>
      <c r="I73" s="1" t="s">
        <v>26</v>
      </c>
      <c r="J73" s="1">
        <v>4</v>
      </c>
      <c r="K73" s="1">
        <v>54</v>
      </c>
      <c r="L73" s="1" t="s">
        <v>27</v>
      </c>
      <c r="M73" s="1" t="s">
        <v>26</v>
      </c>
      <c r="N73" s="1">
        <v>0</v>
      </c>
      <c r="O73" s="1">
        <v>1</v>
      </c>
      <c r="P73" s="2" t="s">
        <v>28</v>
      </c>
      <c r="Q73" s="1" t="s">
        <v>185</v>
      </c>
      <c r="R73" s="1">
        <v>2.351</v>
      </c>
      <c r="S73" s="1">
        <v>4.4039999999999999</v>
      </c>
      <c r="T73" s="1">
        <v>4.5410000000000004</v>
      </c>
      <c r="U73" s="1">
        <v>0.51900000000000002</v>
      </c>
      <c r="V73" s="1">
        <v>0.68600000000000005</v>
      </c>
      <c r="Y73" s="1"/>
    </row>
    <row r="74" spans="1:25" x14ac:dyDescent="0.35">
      <c r="A74" s="1" t="s">
        <v>186</v>
      </c>
      <c r="B74" s="5">
        <v>45407</v>
      </c>
      <c r="C74" s="6">
        <f t="shared" si="1"/>
        <v>3</v>
      </c>
      <c r="D74" s="6">
        <v>1</v>
      </c>
      <c r="E74" s="7">
        <v>0.46180555555555558</v>
      </c>
      <c r="F74" s="1" t="s">
        <v>170</v>
      </c>
      <c r="H74" s="1" t="s">
        <v>32</v>
      </c>
      <c r="I74" s="1" t="s">
        <v>33</v>
      </c>
      <c r="J74" s="1">
        <v>4</v>
      </c>
      <c r="K74" s="1">
        <v>54</v>
      </c>
      <c r="L74" s="1" t="s">
        <v>27</v>
      </c>
      <c r="M74" s="1" t="s">
        <v>26</v>
      </c>
      <c r="N74" s="1">
        <v>0</v>
      </c>
      <c r="O74" s="1">
        <v>1</v>
      </c>
      <c r="P74" s="2" t="s">
        <v>26</v>
      </c>
      <c r="Q74" s="1">
        <v>5652</v>
      </c>
      <c r="R74" s="1">
        <v>0.61299999999999999</v>
      </c>
      <c r="S74" s="1" t="s">
        <v>26</v>
      </c>
      <c r="T74" s="1">
        <v>2.0640000000000001</v>
      </c>
      <c r="U74" s="1">
        <v>0.18</v>
      </c>
      <c r="V74" s="1">
        <v>0.129</v>
      </c>
      <c r="Y74" s="1" t="s">
        <v>57</v>
      </c>
    </row>
    <row r="75" spans="1:25" x14ac:dyDescent="0.35">
      <c r="A75" s="1" t="s">
        <v>187</v>
      </c>
      <c r="B75" s="5">
        <v>45407</v>
      </c>
      <c r="C75" s="6">
        <f t="shared" si="1"/>
        <v>3</v>
      </c>
      <c r="D75" s="6">
        <v>1</v>
      </c>
      <c r="E75" s="7">
        <v>0.46666666666666667</v>
      </c>
      <c r="F75" s="1" t="s">
        <v>170</v>
      </c>
      <c r="H75" s="1" t="s">
        <v>25</v>
      </c>
      <c r="I75" s="1" t="s">
        <v>26</v>
      </c>
      <c r="J75" s="1">
        <v>3</v>
      </c>
      <c r="K75" s="1">
        <v>55</v>
      </c>
      <c r="L75" s="1" t="s">
        <v>27</v>
      </c>
      <c r="M75" s="1" t="s">
        <v>26</v>
      </c>
      <c r="N75" s="1">
        <v>0</v>
      </c>
      <c r="O75" s="1">
        <v>0</v>
      </c>
      <c r="P75" s="2" t="s">
        <v>28</v>
      </c>
      <c r="Q75" s="1" t="s">
        <v>188</v>
      </c>
      <c r="R75" s="1">
        <v>2.31</v>
      </c>
      <c r="S75" s="1">
        <v>5.2190000000000003</v>
      </c>
      <c r="T75" s="1">
        <v>5.1929999999999996</v>
      </c>
      <c r="U75" s="1">
        <v>0.56200000000000006</v>
      </c>
      <c r="V75" s="1">
        <v>0.52500000000000002</v>
      </c>
      <c r="W75" s="1" t="s">
        <v>189</v>
      </c>
      <c r="Y75" s="1"/>
    </row>
    <row r="76" spans="1:25" x14ac:dyDescent="0.35">
      <c r="A76" s="1" t="s">
        <v>190</v>
      </c>
      <c r="B76" s="5">
        <v>45407</v>
      </c>
      <c r="C76" s="6">
        <f t="shared" si="1"/>
        <v>3</v>
      </c>
      <c r="D76" s="6">
        <v>1</v>
      </c>
      <c r="E76" s="7">
        <v>0.46666666666666667</v>
      </c>
      <c r="F76" s="1" t="s">
        <v>170</v>
      </c>
      <c r="H76" s="1" t="s">
        <v>32</v>
      </c>
      <c r="I76" s="1" t="s">
        <v>33</v>
      </c>
      <c r="J76" s="1">
        <v>3</v>
      </c>
      <c r="K76" s="1">
        <v>55</v>
      </c>
      <c r="L76" s="1" t="s">
        <v>27</v>
      </c>
      <c r="M76" s="1" t="s">
        <v>26</v>
      </c>
      <c r="N76" s="1">
        <v>0</v>
      </c>
      <c r="O76" s="1">
        <v>0</v>
      </c>
      <c r="P76" s="2" t="s">
        <v>26</v>
      </c>
      <c r="Q76" s="1">
        <v>5653</v>
      </c>
      <c r="R76" s="1">
        <v>0.503</v>
      </c>
      <c r="S76" s="1">
        <v>1.788</v>
      </c>
      <c r="T76" s="1">
        <v>1.6870000000000001</v>
      </c>
      <c r="U76" s="1">
        <v>0.154</v>
      </c>
      <c r="V76" s="1">
        <v>0.111</v>
      </c>
      <c r="W76" s="1" t="s">
        <v>189</v>
      </c>
      <c r="Y76" s="1"/>
    </row>
    <row r="77" spans="1:25" x14ac:dyDescent="0.35">
      <c r="A77" s="1" t="s">
        <v>191</v>
      </c>
      <c r="B77" s="5">
        <v>45407</v>
      </c>
      <c r="C77" s="6">
        <f t="shared" si="1"/>
        <v>3</v>
      </c>
      <c r="D77" s="6">
        <v>1</v>
      </c>
      <c r="E77" s="7">
        <v>0.4826388888888889</v>
      </c>
      <c r="F77" s="1" t="s">
        <v>170</v>
      </c>
      <c r="H77" s="1" t="s">
        <v>25</v>
      </c>
      <c r="I77" s="1" t="s">
        <v>26</v>
      </c>
      <c r="J77" s="1">
        <v>3</v>
      </c>
      <c r="K77" s="1">
        <v>56</v>
      </c>
      <c r="L77" s="1" t="s">
        <v>27</v>
      </c>
      <c r="M77" s="1" t="s">
        <v>26</v>
      </c>
      <c r="N77" s="1">
        <v>0</v>
      </c>
      <c r="O77" s="1">
        <v>3</v>
      </c>
      <c r="P77" s="2" t="s">
        <v>28</v>
      </c>
      <c r="Q77" s="1" t="s">
        <v>192</v>
      </c>
      <c r="R77" s="1">
        <v>2.5950000000000002</v>
      </c>
      <c r="S77" s="1">
        <v>5.0780000000000003</v>
      </c>
      <c r="T77" s="1">
        <v>5.1479999999999997</v>
      </c>
      <c r="U77" s="1">
        <v>0.56100000000000005</v>
      </c>
      <c r="V77" s="1">
        <v>0.64800000000000002</v>
      </c>
      <c r="Y77" s="1"/>
    </row>
    <row r="78" spans="1:25" x14ac:dyDescent="0.35">
      <c r="A78" s="1" t="s">
        <v>193</v>
      </c>
      <c r="B78" s="5">
        <v>45407</v>
      </c>
      <c r="C78" s="6">
        <f t="shared" si="1"/>
        <v>3</v>
      </c>
      <c r="D78" s="6">
        <v>1</v>
      </c>
      <c r="E78" s="7">
        <v>0.4826388888888889</v>
      </c>
      <c r="F78" s="1" t="s">
        <v>170</v>
      </c>
      <c r="H78" s="1" t="s">
        <v>32</v>
      </c>
      <c r="I78" s="1" t="s">
        <v>33</v>
      </c>
      <c r="J78" s="1">
        <v>3</v>
      </c>
      <c r="K78" s="1">
        <v>56</v>
      </c>
      <c r="L78" s="1" t="s">
        <v>27</v>
      </c>
      <c r="M78" s="1" t="s">
        <v>26</v>
      </c>
      <c r="N78" s="1">
        <v>0</v>
      </c>
      <c r="O78" s="1">
        <v>3</v>
      </c>
      <c r="P78" s="2" t="s">
        <v>26</v>
      </c>
      <c r="Q78" s="1">
        <v>5634</v>
      </c>
      <c r="R78" s="1">
        <v>0.79600000000000004</v>
      </c>
      <c r="S78" s="1">
        <v>2.944</v>
      </c>
      <c r="T78" s="1">
        <v>2.9510999999999998</v>
      </c>
      <c r="U78" s="1">
        <v>0.251</v>
      </c>
      <c r="V78" s="1">
        <v>0.14599999999999999</v>
      </c>
      <c r="Y78" s="1"/>
    </row>
    <row r="79" spans="1:25" x14ac:dyDescent="0.35">
      <c r="A79" s="1" t="s">
        <v>194</v>
      </c>
      <c r="B79" s="5">
        <v>45407</v>
      </c>
      <c r="C79" s="6">
        <f t="shared" si="1"/>
        <v>3</v>
      </c>
      <c r="D79" s="6">
        <v>1</v>
      </c>
      <c r="E79" s="7">
        <v>0.48958333333333331</v>
      </c>
      <c r="F79" s="1" t="s">
        <v>170</v>
      </c>
      <c r="H79" s="1" t="s">
        <v>25</v>
      </c>
      <c r="I79" s="1" t="s">
        <v>26</v>
      </c>
      <c r="J79" s="1">
        <v>3</v>
      </c>
      <c r="K79" s="1">
        <v>57</v>
      </c>
      <c r="L79" s="1" t="s">
        <v>27</v>
      </c>
      <c r="M79" s="1" t="s">
        <v>26</v>
      </c>
      <c r="N79" s="1">
        <v>0</v>
      </c>
      <c r="O79" s="1" t="s">
        <v>195</v>
      </c>
      <c r="P79" s="2" t="s">
        <v>28</v>
      </c>
      <c r="Q79" s="1" t="s">
        <v>196</v>
      </c>
      <c r="R79" s="1">
        <v>1.82</v>
      </c>
      <c r="S79" s="1">
        <v>4.5449999999999999</v>
      </c>
      <c r="T79" s="1">
        <v>4.4080000000000004</v>
      </c>
      <c r="U79" s="1">
        <v>0.48199999999999998</v>
      </c>
      <c r="V79" s="1">
        <v>0.38100000000000001</v>
      </c>
      <c r="W79" s="1" t="s">
        <v>197</v>
      </c>
      <c r="Y79" s="1"/>
    </row>
    <row r="80" spans="1:25" x14ac:dyDescent="0.35">
      <c r="A80" s="1" t="s">
        <v>198</v>
      </c>
      <c r="B80" s="5">
        <v>45407</v>
      </c>
      <c r="C80" s="6">
        <f t="shared" si="1"/>
        <v>3</v>
      </c>
      <c r="D80" s="6">
        <v>1</v>
      </c>
      <c r="E80" s="7">
        <v>0.48958333333333331</v>
      </c>
      <c r="F80" s="1" t="s">
        <v>170</v>
      </c>
      <c r="H80" s="1" t="s">
        <v>32</v>
      </c>
      <c r="I80" s="1" t="s">
        <v>33</v>
      </c>
      <c r="J80" s="1">
        <v>3</v>
      </c>
      <c r="K80" s="1">
        <v>57</v>
      </c>
      <c r="L80" s="1" t="s">
        <v>27</v>
      </c>
      <c r="M80" s="1" t="s">
        <v>26</v>
      </c>
      <c r="N80" s="1">
        <v>0</v>
      </c>
      <c r="O80" s="1" t="s">
        <v>195</v>
      </c>
      <c r="P80" s="2" t="s">
        <v>26</v>
      </c>
      <c r="Q80" s="1">
        <v>5631</v>
      </c>
      <c r="R80" s="1">
        <v>0.69799999999999995</v>
      </c>
      <c r="S80" s="1">
        <v>2.762</v>
      </c>
      <c r="T80" s="1" t="s">
        <v>26</v>
      </c>
      <c r="U80" s="1">
        <v>0.21199999999999999</v>
      </c>
      <c r="V80" s="1">
        <v>0.11899999999999999</v>
      </c>
      <c r="W80" s="1" t="s">
        <v>197</v>
      </c>
      <c r="Y80" s="1" t="s">
        <v>65</v>
      </c>
    </row>
    <row r="81" spans="1:25" x14ac:dyDescent="0.35">
      <c r="A81" s="1" t="s">
        <v>199</v>
      </c>
      <c r="B81" s="5">
        <v>45407</v>
      </c>
      <c r="C81" s="6">
        <f t="shared" si="1"/>
        <v>3</v>
      </c>
      <c r="D81" s="6">
        <v>1</v>
      </c>
      <c r="E81" s="7">
        <v>0.50347222222222221</v>
      </c>
      <c r="F81" s="1" t="s">
        <v>170</v>
      </c>
      <c r="H81" s="1" t="s">
        <v>25</v>
      </c>
      <c r="I81" s="1" t="s">
        <v>26</v>
      </c>
      <c r="J81" s="1">
        <v>3</v>
      </c>
      <c r="K81" s="1">
        <v>58</v>
      </c>
      <c r="L81" s="1" t="s">
        <v>27</v>
      </c>
      <c r="M81" s="1" t="s">
        <v>26</v>
      </c>
      <c r="N81" s="1">
        <v>0</v>
      </c>
      <c r="O81" s="1">
        <v>0</v>
      </c>
      <c r="P81" s="2" t="s">
        <v>28</v>
      </c>
      <c r="Q81" s="1" t="s">
        <v>200</v>
      </c>
      <c r="R81" s="1">
        <v>2.423</v>
      </c>
      <c r="S81" s="1">
        <v>5.024</v>
      </c>
      <c r="T81" s="1">
        <v>5.2489999999999997</v>
      </c>
      <c r="U81" s="1">
        <v>0.52600000000000002</v>
      </c>
      <c r="V81" s="1">
        <v>0.53</v>
      </c>
      <c r="Y81" s="1"/>
    </row>
    <row r="82" spans="1:25" x14ac:dyDescent="0.35">
      <c r="A82" s="1" t="s">
        <v>201</v>
      </c>
      <c r="B82" s="5">
        <v>45407</v>
      </c>
      <c r="C82" s="6">
        <f t="shared" si="1"/>
        <v>3</v>
      </c>
      <c r="D82" s="6">
        <v>1</v>
      </c>
      <c r="E82" s="7">
        <v>0.50347222222222221</v>
      </c>
      <c r="F82" s="1" t="s">
        <v>170</v>
      </c>
      <c r="H82" s="1" t="s">
        <v>32</v>
      </c>
      <c r="I82" s="1" t="s">
        <v>33</v>
      </c>
      <c r="J82" s="1">
        <v>3</v>
      </c>
      <c r="K82" s="1">
        <v>58</v>
      </c>
      <c r="L82" s="1" t="s">
        <v>27</v>
      </c>
      <c r="M82" s="1" t="s">
        <v>26</v>
      </c>
      <c r="N82" s="1">
        <v>0</v>
      </c>
      <c r="O82" s="1">
        <v>0</v>
      </c>
      <c r="P82" s="2" t="s">
        <v>26</v>
      </c>
      <c r="Q82" s="1">
        <v>5654</v>
      </c>
      <c r="R82" s="1">
        <v>0.59699999999999998</v>
      </c>
      <c r="S82" s="1">
        <v>2.0619999999999998</v>
      </c>
      <c r="T82" s="1">
        <v>2.137</v>
      </c>
      <c r="U82" s="1">
        <v>0.183</v>
      </c>
      <c r="V82" s="1">
        <v>0.13500000000000001</v>
      </c>
      <c r="Y82" s="1"/>
    </row>
    <row r="83" spans="1:25" x14ac:dyDescent="0.35">
      <c r="A83" s="2" t="s">
        <v>202</v>
      </c>
      <c r="B83" s="9">
        <v>45407</v>
      </c>
      <c r="C83" s="6">
        <f t="shared" si="1"/>
        <v>3</v>
      </c>
      <c r="D83" s="10">
        <v>1</v>
      </c>
      <c r="E83" s="11">
        <v>0.50694444444444442</v>
      </c>
      <c r="F83" s="2" t="s">
        <v>170</v>
      </c>
      <c r="G83" s="2"/>
      <c r="H83" s="2" t="s">
        <v>203</v>
      </c>
      <c r="I83" s="2" t="s">
        <v>26</v>
      </c>
      <c r="J83" s="2">
        <v>3</v>
      </c>
      <c r="K83" s="2">
        <v>59</v>
      </c>
      <c r="L83" s="2" t="s">
        <v>27</v>
      </c>
      <c r="M83" s="2" t="s">
        <v>26</v>
      </c>
      <c r="N83" s="2">
        <v>0</v>
      </c>
      <c r="O83" s="2">
        <v>0</v>
      </c>
      <c r="Q83" s="2"/>
      <c r="R83" s="2"/>
      <c r="S83" s="2"/>
      <c r="T83" s="2"/>
      <c r="U83" s="2"/>
      <c r="V83" s="2"/>
      <c r="W83" s="2" t="s">
        <v>204</v>
      </c>
      <c r="Y83" s="2"/>
    </row>
    <row r="84" spans="1:25" x14ac:dyDescent="0.35">
      <c r="A84" s="2" t="s">
        <v>205</v>
      </c>
      <c r="B84" s="9">
        <v>45407</v>
      </c>
      <c r="C84" s="6">
        <f t="shared" si="1"/>
        <v>3</v>
      </c>
      <c r="D84" s="10">
        <v>1</v>
      </c>
      <c r="E84" s="11">
        <v>0.50694444444444442</v>
      </c>
      <c r="F84" s="2" t="s">
        <v>170</v>
      </c>
      <c r="G84" s="2"/>
      <c r="H84" s="2" t="s">
        <v>59</v>
      </c>
      <c r="I84" s="2" t="s">
        <v>33</v>
      </c>
      <c r="J84" s="2">
        <v>3</v>
      </c>
      <c r="K84" s="2">
        <v>59</v>
      </c>
      <c r="L84" s="2" t="s">
        <v>27</v>
      </c>
      <c r="M84" s="2" t="s">
        <v>26</v>
      </c>
      <c r="N84" s="2">
        <v>0</v>
      </c>
      <c r="O84" s="2">
        <v>0</v>
      </c>
      <c r="P84" s="2" t="s">
        <v>26</v>
      </c>
      <c r="Q84" s="2" t="s">
        <v>206</v>
      </c>
      <c r="R84" s="2">
        <v>0.50600000000000001</v>
      </c>
      <c r="S84" s="2">
        <v>1.694</v>
      </c>
      <c r="T84" s="2">
        <v>1.645</v>
      </c>
      <c r="U84" s="2">
        <v>0.153</v>
      </c>
      <c r="V84" s="2">
        <v>0.11</v>
      </c>
      <c r="W84" s="2" t="s">
        <v>204</v>
      </c>
      <c r="Y84" s="2"/>
    </row>
    <row r="85" spans="1:25" x14ac:dyDescent="0.35">
      <c r="A85" s="1" t="s">
        <v>207</v>
      </c>
      <c r="B85" s="5">
        <v>45407</v>
      </c>
      <c r="C85" s="6">
        <f t="shared" si="1"/>
        <v>3</v>
      </c>
      <c r="D85" s="6">
        <v>1</v>
      </c>
      <c r="E85" s="7">
        <v>0.51249999999999996</v>
      </c>
      <c r="F85" s="1" t="s">
        <v>170</v>
      </c>
      <c r="H85" s="1" t="s">
        <v>25</v>
      </c>
      <c r="I85" s="1" t="s">
        <v>26</v>
      </c>
      <c r="J85" s="1">
        <v>3</v>
      </c>
      <c r="K85" s="1">
        <v>60</v>
      </c>
      <c r="L85" s="1" t="s">
        <v>27</v>
      </c>
      <c r="M85" s="1" t="s">
        <v>26</v>
      </c>
      <c r="N85" s="1">
        <v>0</v>
      </c>
      <c r="O85" s="1">
        <v>0</v>
      </c>
      <c r="P85" s="2" t="s">
        <v>28</v>
      </c>
      <c r="Q85" s="1" t="s">
        <v>208</v>
      </c>
      <c r="R85" s="1">
        <v>2.3119999999999998</v>
      </c>
      <c r="S85" s="1" t="s">
        <v>26</v>
      </c>
      <c r="T85" s="1">
        <v>5.1630000000000003</v>
      </c>
      <c r="U85" s="1">
        <v>0.58899999999999997</v>
      </c>
      <c r="V85" s="1">
        <v>0.52200000000000002</v>
      </c>
      <c r="Y85" s="1"/>
    </row>
    <row r="86" spans="1:25" x14ac:dyDescent="0.35">
      <c r="A86" s="1" t="s">
        <v>209</v>
      </c>
      <c r="B86" s="5">
        <v>45412</v>
      </c>
      <c r="C86" s="6">
        <f t="shared" si="1"/>
        <v>4</v>
      </c>
      <c r="D86" s="6">
        <v>1</v>
      </c>
      <c r="E86" s="7">
        <v>0.4375</v>
      </c>
      <c r="F86" s="1" t="s">
        <v>210</v>
      </c>
      <c r="H86" s="1" t="s">
        <v>25</v>
      </c>
      <c r="I86" s="1" t="s">
        <v>26</v>
      </c>
      <c r="J86" s="1">
        <v>5</v>
      </c>
      <c r="K86" s="1">
        <v>61</v>
      </c>
      <c r="L86" s="1" t="s">
        <v>38</v>
      </c>
      <c r="M86" s="1">
        <v>5</v>
      </c>
      <c r="N86" s="1">
        <v>0</v>
      </c>
      <c r="O86" s="1">
        <v>0</v>
      </c>
      <c r="P86" s="2" t="s">
        <v>28</v>
      </c>
      <c r="Q86" s="1" t="s">
        <v>211</v>
      </c>
      <c r="R86" s="1">
        <v>2.4780000000000002</v>
      </c>
      <c r="S86" s="1">
        <v>4.7229999999999999</v>
      </c>
      <c r="T86" s="1">
        <v>4.8529999999999998</v>
      </c>
      <c r="U86" s="1">
        <v>0.52</v>
      </c>
      <c r="V86" s="1">
        <v>0.57399999999999995</v>
      </c>
      <c r="Y86" s="1"/>
    </row>
    <row r="87" spans="1:25" x14ac:dyDescent="0.35">
      <c r="A87" s="1" t="s">
        <v>212</v>
      </c>
      <c r="B87" s="5">
        <v>45412</v>
      </c>
      <c r="C87" s="6">
        <f t="shared" si="1"/>
        <v>4</v>
      </c>
      <c r="D87" s="6">
        <v>1</v>
      </c>
      <c r="E87" s="7">
        <v>0.4375</v>
      </c>
      <c r="F87" s="1" t="s">
        <v>210</v>
      </c>
      <c r="H87" s="1" t="s">
        <v>32</v>
      </c>
      <c r="I87" s="1" t="s">
        <v>33</v>
      </c>
      <c r="J87" s="1">
        <v>5</v>
      </c>
      <c r="K87" s="1">
        <v>61</v>
      </c>
      <c r="L87" s="1" t="s">
        <v>38</v>
      </c>
      <c r="M87" s="1">
        <v>5</v>
      </c>
      <c r="N87" s="1">
        <v>0</v>
      </c>
      <c r="O87" s="1">
        <v>0</v>
      </c>
      <c r="P87" s="2" t="s">
        <v>26</v>
      </c>
      <c r="Q87" s="1">
        <v>5635</v>
      </c>
      <c r="R87" s="1">
        <v>0.86</v>
      </c>
      <c r="S87" s="1">
        <v>2.9169999999999998</v>
      </c>
      <c r="T87" s="1">
        <v>2.8809999999999998</v>
      </c>
      <c r="U87" s="1">
        <v>0.26500000000000001</v>
      </c>
      <c r="V87" s="1">
        <v>0.14899999999999999</v>
      </c>
      <c r="Y87" s="1"/>
    </row>
    <row r="88" spans="1:25" x14ac:dyDescent="0.35">
      <c r="A88" s="1" t="s">
        <v>213</v>
      </c>
      <c r="B88" s="5">
        <v>45412</v>
      </c>
      <c r="C88" s="6">
        <f t="shared" si="1"/>
        <v>4</v>
      </c>
      <c r="D88" s="6">
        <v>1</v>
      </c>
      <c r="E88" s="7">
        <v>0.4375</v>
      </c>
      <c r="F88" s="1" t="s">
        <v>210</v>
      </c>
      <c r="H88" s="1" t="s">
        <v>25</v>
      </c>
      <c r="I88" s="1" t="s">
        <v>26</v>
      </c>
      <c r="J88" s="1">
        <v>5</v>
      </c>
      <c r="K88" s="1">
        <v>62</v>
      </c>
      <c r="L88" s="1" t="s">
        <v>38</v>
      </c>
      <c r="M88" s="1">
        <v>5</v>
      </c>
      <c r="N88" s="1">
        <v>0</v>
      </c>
      <c r="O88" s="1">
        <v>0</v>
      </c>
      <c r="P88" s="2" t="s">
        <v>28</v>
      </c>
      <c r="Q88" s="1" t="s">
        <v>214</v>
      </c>
      <c r="R88" s="1">
        <v>2.242</v>
      </c>
      <c r="S88" s="1">
        <v>4.8860000000000001</v>
      </c>
      <c r="T88" s="1">
        <v>4.9160000000000004</v>
      </c>
      <c r="U88" s="1">
        <v>0.53800000000000003</v>
      </c>
      <c r="V88" s="1">
        <v>0.35899999999999999</v>
      </c>
      <c r="Y88" s="1" t="s">
        <v>55</v>
      </c>
    </row>
    <row r="89" spans="1:25" x14ac:dyDescent="0.35">
      <c r="A89" s="1" t="s">
        <v>215</v>
      </c>
      <c r="B89" s="5">
        <v>45412</v>
      </c>
      <c r="C89" s="6">
        <f t="shared" si="1"/>
        <v>4</v>
      </c>
      <c r="D89" s="6">
        <v>1</v>
      </c>
      <c r="E89" s="7">
        <v>0.44444444444444442</v>
      </c>
      <c r="F89" s="1" t="s">
        <v>210</v>
      </c>
      <c r="H89" s="1" t="s">
        <v>25</v>
      </c>
      <c r="I89" s="1" t="s">
        <v>26</v>
      </c>
      <c r="J89" s="1">
        <v>5</v>
      </c>
      <c r="K89" s="1">
        <v>63</v>
      </c>
      <c r="L89" s="1" t="s">
        <v>38</v>
      </c>
      <c r="M89" s="1">
        <v>5</v>
      </c>
      <c r="N89" s="1">
        <v>0</v>
      </c>
      <c r="O89" s="1">
        <v>0</v>
      </c>
      <c r="P89" s="2" t="s">
        <v>28</v>
      </c>
      <c r="Q89" s="1" t="s">
        <v>216</v>
      </c>
      <c r="R89" s="1">
        <v>1.88</v>
      </c>
      <c r="S89" s="1">
        <v>4.2080000000000002</v>
      </c>
      <c r="T89" s="1">
        <v>4.16</v>
      </c>
      <c r="U89" s="1">
        <v>0.42499999999999999</v>
      </c>
      <c r="V89" s="1">
        <v>0.439</v>
      </c>
      <c r="Y89" s="1"/>
    </row>
    <row r="90" spans="1:25" x14ac:dyDescent="0.35">
      <c r="A90" s="1" t="s">
        <v>217</v>
      </c>
      <c r="B90" s="5">
        <v>45412</v>
      </c>
      <c r="C90" s="6">
        <f t="shared" si="1"/>
        <v>4</v>
      </c>
      <c r="D90" s="6">
        <v>1</v>
      </c>
      <c r="E90" s="7">
        <v>0.44444444444444442</v>
      </c>
      <c r="F90" s="1" t="s">
        <v>210</v>
      </c>
      <c r="H90" s="1" t="s">
        <v>25</v>
      </c>
      <c r="I90" s="1" t="s">
        <v>26</v>
      </c>
      <c r="J90" s="1">
        <v>5</v>
      </c>
      <c r="K90" s="1">
        <v>64</v>
      </c>
      <c r="L90" s="1" t="s">
        <v>38</v>
      </c>
      <c r="M90" s="1">
        <v>5</v>
      </c>
      <c r="N90" s="1">
        <v>0</v>
      </c>
      <c r="O90" s="1">
        <v>0</v>
      </c>
      <c r="P90" s="2" t="s">
        <v>28</v>
      </c>
      <c r="Q90" s="1" t="s">
        <v>218</v>
      </c>
      <c r="R90" s="1">
        <v>2.1429999999999998</v>
      </c>
      <c r="S90" s="1">
        <v>4.88</v>
      </c>
      <c r="T90" s="1">
        <v>4.9710000000000001</v>
      </c>
      <c r="U90" s="1">
        <v>0.49199999999999999</v>
      </c>
      <c r="V90" s="1">
        <v>0.41899999999999998</v>
      </c>
      <c r="Y90" s="1" t="s">
        <v>55</v>
      </c>
    </row>
    <row r="91" spans="1:25" x14ac:dyDescent="0.35">
      <c r="A91" s="1" t="s">
        <v>219</v>
      </c>
      <c r="B91" s="5">
        <v>45412</v>
      </c>
      <c r="C91" s="6">
        <f t="shared" si="1"/>
        <v>4</v>
      </c>
      <c r="D91" s="6">
        <v>1</v>
      </c>
      <c r="E91" s="7">
        <v>0.44444444444444442</v>
      </c>
      <c r="F91" s="1" t="s">
        <v>210</v>
      </c>
      <c r="H91" s="1" t="s">
        <v>25</v>
      </c>
      <c r="I91" s="1" t="s">
        <v>26</v>
      </c>
      <c r="J91" s="1">
        <v>5</v>
      </c>
      <c r="K91" s="1">
        <v>65</v>
      </c>
      <c r="L91" s="1" t="s">
        <v>38</v>
      </c>
      <c r="M91" s="1">
        <v>5</v>
      </c>
      <c r="N91" s="1">
        <v>0</v>
      </c>
      <c r="O91" s="1">
        <v>0</v>
      </c>
      <c r="P91" s="2" t="s">
        <v>28</v>
      </c>
      <c r="Q91" s="1" t="s">
        <v>220</v>
      </c>
      <c r="R91" s="1">
        <v>2.2589999999999999</v>
      </c>
      <c r="S91" s="1">
        <v>4.452</v>
      </c>
      <c r="T91" s="1">
        <v>4.431</v>
      </c>
      <c r="U91" s="1">
        <v>0.47499999999999998</v>
      </c>
      <c r="V91" s="1">
        <v>0.61199999999999999</v>
      </c>
      <c r="Y91" s="1" t="s">
        <v>55</v>
      </c>
    </row>
    <row r="92" spans="1:25" x14ac:dyDescent="0.35">
      <c r="A92" s="1" t="s">
        <v>221</v>
      </c>
      <c r="B92" s="5">
        <v>45414</v>
      </c>
      <c r="C92" s="6">
        <f t="shared" si="1"/>
        <v>4</v>
      </c>
      <c r="D92" s="6">
        <v>1</v>
      </c>
      <c r="E92" s="7">
        <v>0.58333333333333337</v>
      </c>
      <c r="F92" s="7" t="s">
        <v>222</v>
      </c>
      <c r="G92" s="7"/>
      <c r="H92" s="1" t="s">
        <v>25</v>
      </c>
      <c r="I92" s="1" t="s">
        <v>26</v>
      </c>
      <c r="J92" s="1" t="s">
        <v>117</v>
      </c>
      <c r="K92" s="1">
        <v>66</v>
      </c>
      <c r="L92" s="1" t="s">
        <v>27</v>
      </c>
      <c r="M92" s="1" t="s">
        <v>26</v>
      </c>
      <c r="N92" s="1">
        <v>0</v>
      </c>
      <c r="O92" s="1">
        <v>0</v>
      </c>
      <c r="P92" s="2" t="s">
        <v>28</v>
      </c>
      <c r="Q92" s="1" t="s">
        <v>223</v>
      </c>
      <c r="R92" s="1">
        <v>2.2130000000000001</v>
      </c>
      <c r="S92" s="1">
        <v>5.24</v>
      </c>
      <c r="T92" s="1">
        <v>5.1349999999999998</v>
      </c>
      <c r="U92" s="1">
        <v>0.51900000000000002</v>
      </c>
      <c r="V92" s="1">
        <v>0.497</v>
      </c>
      <c r="Y92" s="1"/>
    </row>
    <row r="93" spans="1:25" x14ac:dyDescent="0.35">
      <c r="A93" s="1" t="s">
        <v>224</v>
      </c>
      <c r="B93" s="5">
        <v>45414</v>
      </c>
      <c r="C93" s="6">
        <f t="shared" si="1"/>
        <v>4</v>
      </c>
      <c r="D93" s="6">
        <v>1</v>
      </c>
      <c r="E93" s="7">
        <v>0.58680555555555558</v>
      </c>
      <c r="F93" s="1" t="s">
        <v>222</v>
      </c>
      <c r="H93" s="1" t="s">
        <v>25</v>
      </c>
      <c r="I93" s="1" t="s">
        <v>26</v>
      </c>
      <c r="J93" s="1" t="s">
        <v>117</v>
      </c>
      <c r="K93" s="1">
        <v>67</v>
      </c>
      <c r="L93" s="1" t="s">
        <v>27</v>
      </c>
      <c r="M93" s="1" t="s">
        <v>26</v>
      </c>
      <c r="N93" s="1">
        <v>0</v>
      </c>
      <c r="O93" s="1">
        <v>2</v>
      </c>
      <c r="P93" s="2" t="s">
        <v>28</v>
      </c>
      <c r="Q93" s="1" t="s">
        <v>225</v>
      </c>
      <c r="R93" s="1">
        <v>2.6419999999999999</v>
      </c>
      <c r="S93" s="1">
        <v>5.444</v>
      </c>
      <c r="T93" s="1">
        <v>5.5540000000000003</v>
      </c>
      <c r="U93" s="1">
        <v>0.56299999999999994</v>
      </c>
      <c r="V93" s="1">
        <v>0.54900000000000004</v>
      </c>
      <c r="Y93" s="1"/>
    </row>
    <row r="94" spans="1:25" x14ac:dyDescent="0.35">
      <c r="A94" s="1" t="s">
        <v>226</v>
      </c>
      <c r="B94" s="5">
        <v>45414</v>
      </c>
      <c r="C94" s="6">
        <f t="shared" si="1"/>
        <v>4</v>
      </c>
      <c r="D94" s="6">
        <v>1</v>
      </c>
      <c r="E94" s="7">
        <v>0.59166666666666667</v>
      </c>
      <c r="F94" s="7" t="s">
        <v>222</v>
      </c>
      <c r="G94" s="7"/>
      <c r="H94" s="7" t="s">
        <v>25</v>
      </c>
      <c r="I94" s="1" t="s">
        <v>26</v>
      </c>
      <c r="J94" s="1">
        <v>6</v>
      </c>
      <c r="K94" s="1">
        <v>68</v>
      </c>
      <c r="L94" s="1" t="s">
        <v>27</v>
      </c>
      <c r="M94" s="1" t="s">
        <v>26</v>
      </c>
      <c r="N94" s="1">
        <v>0</v>
      </c>
      <c r="O94" s="1">
        <v>0</v>
      </c>
      <c r="P94" s="2" t="s">
        <v>28</v>
      </c>
      <c r="Q94" s="1" t="s">
        <v>227</v>
      </c>
      <c r="R94" s="1">
        <v>2.4089999999999998</v>
      </c>
      <c r="S94" s="1">
        <v>4.5590000000000002</v>
      </c>
      <c r="T94" s="1">
        <v>4.4790000000000001</v>
      </c>
      <c r="U94" s="1">
        <v>0.45600000000000002</v>
      </c>
      <c r="V94" s="1">
        <v>0.26700000000000002</v>
      </c>
      <c r="Y94" s="1"/>
    </row>
    <row r="95" spans="1:25" x14ac:dyDescent="0.35">
      <c r="A95" s="1" t="s">
        <v>228</v>
      </c>
      <c r="B95" s="5">
        <v>45414</v>
      </c>
      <c r="C95" s="6">
        <f t="shared" si="1"/>
        <v>4</v>
      </c>
      <c r="D95" s="6">
        <v>1</v>
      </c>
      <c r="E95" s="7">
        <v>0.59722222222222221</v>
      </c>
      <c r="F95" s="1" t="s">
        <v>222</v>
      </c>
      <c r="H95" s="1" t="s">
        <v>25</v>
      </c>
      <c r="I95" s="1" t="s">
        <v>26</v>
      </c>
      <c r="J95" s="1">
        <v>6</v>
      </c>
      <c r="K95" s="1">
        <v>69</v>
      </c>
      <c r="L95" s="1" t="s">
        <v>27</v>
      </c>
      <c r="M95" s="1" t="s">
        <v>26</v>
      </c>
      <c r="N95" s="1">
        <v>0</v>
      </c>
      <c r="O95" s="1">
        <v>0</v>
      </c>
      <c r="P95" s="2" t="s">
        <v>28</v>
      </c>
      <c r="Q95" s="1" t="s">
        <v>229</v>
      </c>
      <c r="R95" s="1">
        <v>2.363</v>
      </c>
      <c r="S95" s="1">
        <v>4.6559999999999997</v>
      </c>
      <c r="T95" s="1">
        <v>4.3819999999999997</v>
      </c>
      <c r="U95" s="1">
        <v>0.504</v>
      </c>
      <c r="V95" s="1">
        <v>0.54500000000000004</v>
      </c>
      <c r="Y95" s="1"/>
    </row>
    <row r="96" spans="1:25" x14ac:dyDescent="0.35">
      <c r="A96" s="1" t="s">
        <v>230</v>
      </c>
      <c r="B96" s="5">
        <v>45414</v>
      </c>
      <c r="C96" s="6">
        <f t="shared" si="1"/>
        <v>4</v>
      </c>
      <c r="D96" s="6">
        <v>1</v>
      </c>
      <c r="E96" s="7">
        <v>0.59722222222222221</v>
      </c>
      <c r="F96" s="7" t="s">
        <v>222</v>
      </c>
      <c r="G96" s="7"/>
      <c r="H96" s="1" t="s">
        <v>25</v>
      </c>
      <c r="I96" s="1" t="s">
        <v>26</v>
      </c>
      <c r="J96" s="1">
        <v>6</v>
      </c>
      <c r="K96" s="1">
        <v>70</v>
      </c>
      <c r="L96" s="1" t="s">
        <v>27</v>
      </c>
      <c r="M96" s="1" t="s">
        <v>26</v>
      </c>
      <c r="N96" s="1">
        <v>0</v>
      </c>
      <c r="O96" s="1">
        <v>0</v>
      </c>
      <c r="P96" s="2" t="s">
        <v>28</v>
      </c>
      <c r="Q96" s="1" t="s">
        <v>231</v>
      </c>
      <c r="R96" s="1">
        <v>2.109</v>
      </c>
      <c r="S96" s="1">
        <v>4.4950000000000001</v>
      </c>
      <c r="T96" s="1">
        <v>4.524</v>
      </c>
      <c r="U96" s="1">
        <v>0.44900000000000001</v>
      </c>
      <c r="V96" s="1">
        <v>0.377</v>
      </c>
      <c r="W96" s="1" t="s">
        <v>177</v>
      </c>
      <c r="Y96" s="1"/>
    </row>
    <row r="97" spans="1:25" x14ac:dyDescent="0.35">
      <c r="A97" s="1" t="s">
        <v>232</v>
      </c>
      <c r="B97" s="5">
        <v>45414</v>
      </c>
      <c r="C97" s="6">
        <f t="shared" si="1"/>
        <v>4</v>
      </c>
      <c r="D97" s="6">
        <v>1</v>
      </c>
      <c r="E97" s="7">
        <v>0.60416666666666663</v>
      </c>
      <c r="F97" s="1" t="s">
        <v>222</v>
      </c>
      <c r="H97" s="1" t="s">
        <v>25</v>
      </c>
      <c r="I97" s="1" t="s">
        <v>26</v>
      </c>
      <c r="J97" s="1">
        <v>6</v>
      </c>
      <c r="K97" s="1">
        <v>71</v>
      </c>
      <c r="L97" s="1" t="s">
        <v>27</v>
      </c>
      <c r="M97" s="1" t="s">
        <v>26</v>
      </c>
      <c r="N97" s="1">
        <v>0</v>
      </c>
      <c r="O97" s="1">
        <v>0</v>
      </c>
      <c r="P97" s="2" t="s">
        <v>28</v>
      </c>
      <c r="Q97" s="1" t="s">
        <v>233</v>
      </c>
      <c r="R97" s="1">
        <v>2.2679999999999998</v>
      </c>
      <c r="S97" s="1">
        <v>5.2309999999999999</v>
      </c>
      <c r="T97" s="1">
        <v>5.2060000000000004</v>
      </c>
      <c r="U97" s="1">
        <v>0.49299999999999999</v>
      </c>
      <c r="V97" s="1">
        <v>0.27400000000000002</v>
      </c>
      <c r="Y97" s="1"/>
    </row>
    <row r="98" spans="1:25" x14ac:dyDescent="0.35">
      <c r="A98" s="1" t="s">
        <v>234</v>
      </c>
      <c r="B98" s="5">
        <v>45414</v>
      </c>
      <c r="C98" s="6">
        <f t="shared" si="1"/>
        <v>4</v>
      </c>
      <c r="D98" s="6">
        <v>1</v>
      </c>
      <c r="E98" s="7">
        <v>0.60763888888888884</v>
      </c>
      <c r="F98" s="7" t="s">
        <v>222</v>
      </c>
      <c r="G98" s="7"/>
      <c r="H98" s="1" t="s">
        <v>25</v>
      </c>
      <c r="I98" s="1" t="s">
        <v>26</v>
      </c>
      <c r="J98" s="1">
        <v>6</v>
      </c>
      <c r="K98" s="1">
        <v>72</v>
      </c>
      <c r="L98" s="1" t="s">
        <v>27</v>
      </c>
      <c r="M98" s="1" t="s">
        <v>26</v>
      </c>
      <c r="N98" s="1">
        <v>0</v>
      </c>
      <c r="O98" s="1">
        <v>0</v>
      </c>
      <c r="P98" s="2" t="s">
        <v>28</v>
      </c>
      <c r="Q98" s="1" t="s">
        <v>235</v>
      </c>
      <c r="R98" s="1">
        <v>2.383</v>
      </c>
      <c r="S98" s="1">
        <v>5.0860000000000003</v>
      </c>
      <c r="T98" s="1">
        <v>5.0250000000000004</v>
      </c>
      <c r="U98" s="1">
        <v>0.57199999999999995</v>
      </c>
      <c r="V98" s="1">
        <v>0.38400000000000001</v>
      </c>
      <c r="W98" s="1" t="s">
        <v>236</v>
      </c>
      <c r="Y98" s="1"/>
    </row>
    <row r="99" spans="1:25" x14ac:dyDescent="0.35">
      <c r="A99" s="1" t="s">
        <v>237</v>
      </c>
      <c r="B99" s="5">
        <v>45414</v>
      </c>
      <c r="C99" s="6">
        <f t="shared" si="1"/>
        <v>4</v>
      </c>
      <c r="D99" s="6">
        <v>1</v>
      </c>
      <c r="E99" s="7">
        <v>0.61111111111111116</v>
      </c>
      <c r="F99" s="1" t="s">
        <v>222</v>
      </c>
      <c r="H99" s="1" t="s">
        <v>25</v>
      </c>
      <c r="I99" s="1" t="s">
        <v>26</v>
      </c>
      <c r="J99" s="1">
        <v>3</v>
      </c>
      <c r="K99" s="1">
        <v>73</v>
      </c>
      <c r="L99" s="1" t="s">
        <v>27</v>
      </c>
      <c r="M99" s="1" t="s">
        <v>26</v>
      </c>
      <c r="N99" s="1">
        <v>0</v>
      </c>
      <c r="O99" s="1">
        <v>0</v>
      </c>
      <c r="P99" s="2" t="s">
        <v>28</v>
      </c>
      <c r="Q99" s="1" t="s">
        <v>238</v>
      </c>
      <c r="R99" s="1">
        <v>2.6859999999999999</v>
      </c>
      <c r="S99" s="1">
        <v>5.2930000000000001</v>
      </c>
      <c r="T99" s="1">
        <v>5.3029999999999999</v>
      </c>
      <c r="U99" s="1">
        <v>0.52200000000000002</v>
      </c>
      <c r="V99" s="1">
        <v>0.46100000000000002</v>
      </c>
      <c r="Y99" s="1"/>
    </row>
    <row r="100" spans="1:25" x14ac:dyDescent="0.35">
      <c r="A100" s="1" t="s">
        <v>239</v>
      </c>
      <c r="B100" s="5">
        <v>45414</v>
      </c>
      <c r="C100" s="6">
        <f t="shared" si="1"/>
        <v>4</v>
      </c>
      <c r="D100" s="6">
        <v>1</v>
      </c>
      <c r="E100" s="7">
        <v>0.65625</v>
      </c>
      <c r="F100" s="7" t="s">
        <v>222</v>
      </c>
      <c r="G100" s="7"/>
      <c r="H100" s="1" t="s">
        <v>25</v>
      </c>
      <c r="I100" s="1" t="s">
        <v>26</v>
      </c>
      <c r="J100" s="1" t="s">
        <v>117</v>
      </c>
      <c r="K100" s="1">
        <v>74</v>
      </c>
      <c r="L100" s="1" t="s">
        <v>27</v>
      </c>
      <c r="M100" s="1" t="s">
        <v>26</v>
      </c>
      <c r="N100" s="1">
        <v>0</v>
      </c>
      <c r="O100" s="1">
        <v>1</v>
      </c>
      <c r="P100" s="2" t="s">
        <v>28</v>
      </c>
      <c r="Q100" s="1" t="s">
        <v>240</v>
      </c>
      <c r="R100" s="1">
        <v>2.0939999999999999</v>
      </c>
      <c r="S100" s="1">
        <v>4.4509999999999996</v>
      </c>
      <c r="T100" s="1">
        <v>4.3520000000000003</v>
      </c>
      <c r="U100" s="1">
        <v>0.47</v>
      </c>
      <c r="V100" s="1">
        <v>0.438</v>
      </c>
      <c r="Y100" s="1"/>
    </row>
    <row r="101" spans="1:25" x14ac:dyDescent="0.35">
      <c r="A101" s="1" t="s">
        <v>241</v>
      </c>
      <c r="B101" s="5">
        <v>45414</v>
      </c>
      <c r="C101" s="6">
        <f t="shared" si="1"/>
        <v>4</v>
      </c>
      <c r="D101" s="6">
        <v>1</v>
      </c>
      <c r="E101" s="7">
        <v>0.65625</v>
      </c>
      <c r="F101" s="1" t="s">
        <v>222</v>
      </c>
      <c r="H101" s="1" t="s">
        <v>25</v>
      </c>
      <c r="I101" s="1" t="s">
        <v>26</v>
      </c>
      <c r="J101" s="1" t="s">
        <v>117</v>
      </c>
      <c r="K101" s="1">
        <v>75</v>
      </c>
      <c r="L101" s="1" t="s">
        <v>27</v>
      </c>
      <c r="M101" s="1" t="s">
        <v>26</v>
      </c>
      <c r="N101" s="1">
        <v>0</v>
      </c>
      <c r="O101" s="1">
        <v>2</v>
      </c>
      <c r="P101" s="2" t="s">
        <v>28</v>
      </c>
      <c r="Q101" s="1" t="s">
        <v>242</v>
      </c>
      <c r="R101" s="1">
        <v>2.097</v>
      </c>
      <c r="S101" s="1" t="s">
        <v>26</v>
      </c>
      <c r="T101" s="1" t="s">
        <v>26</v>
      </c>
      <c r="U101" s="1">
        <v>0.49299999999999999</v>
      </c>
      <c r="V101" s="1">
        <v>0.33900000000000002</v>
      </c>
      <c r="Y101" s="1"/>
    </row>
    <row r="102" spans="1:25" x14ac:dyDescent="0.35">
      <c r="A102" s="1" t="s">
        <v>243</v>
      </c>
      <c r="B102" s="5">
        <v>45407</v>
      </c>
      <c r="C102" s="6">
        <f t="shared" si="1"/>
        <v>3</v>
      </c>
      <c r="D102" s="6">
        <v>1</v>
      </c>
      <c r="E102" s="7">
        <v>0.41666666666666669</v>
      </c>
      <c r="F102" s="1" t="s">
        <v>170</v>
      </c>
      <c r="H102" s="1" t="s">
        <v>25</v>
      </c>
      <c r="I102" s="1" t="s">
        <v>26</v>
      </c>
      <c r="J102" s="1">
        <v>1</v>
      </c>
      <c r="K102" s="1">
        <v>76</v>
      </c>
      <c r="L102" s="1" t="s">
        <v>27</v>
      </c>
      <c r="M102" s="1" t="s">
        <v>26</v>
      </c>
      <c r="N102" s="1">
        <v>0</v>
      </c>
      <c r="O102" s="1">
        <v>0</v>
      </c>
      <c r="P102" s="2" t="s">
        <v>28</v>
      </c>
      <c r="Q102" s="1" t="s">
        <v>244</v>
      </c>
      <c r="R102" s="1">
        <v>2.5129999999999999</v>
      </c>
      <c r="S102" s="1">
        <v>5.2830000000000004</v>
      </c>
      <c r="T102" s="1">
        <v>5.4009999999999998</v>
      </c>
      <c r="U102" s="1">
        <v>0.57499999999999996</v>
      </c>
      <c r="V102" s="1">
        <v>0.41</v>
      </c>
      <c r="W102" s="1" t="s">
        <v>177</v>
      </c>
      <c r="Y102" s="1"/>
    </row>
    <row r="103" spans="1:25" x14ac:dyDescent="0.35">
      <c r="A103" s="1" t="s">
        <v>245</v>
      </c>
      <c r="B103" s="12">
        <v>45728</v>
      </c>
      <c r="C103" s="6">
        <f t="shared" si="1"/>
        <v>1</v>
      </c>
      <c r="D103" s="1">
        <v>2</v>
      </c>
      <c r="E103" s="7">
        <v>0.375</v>
      </c>
      <c r="H103" s="1" t="s">
        <v>32</v>
      </c>
      <c r="I103" s="1" t="s">
        <v>33</v>
      </c>
      <c r="J103" s="1">
        <v>1</v>
      </c>
      <c r="K103" s="1">
        <v>77</v>
      </c>
      <c r="L103" s="1" t="s">
        <v>27</v>
      </c>
      <c r="M103" s="1" t="s">
        <v>26</v>
      </c>
      <c r="N103" s="1">
        <v>0</v>
      </c>
      <c r="O103" s="1">
        <v>3</v>
      </c>
      <c r="Q103" s="1">
        <v>6650</v>
      </c>
      <c r="R103" s="1">
        <v>0.73799999999999999</v>
      </c>
      <c r="S103" s="1">
        <v>2.54</v>
      </c>
      <c r="T103" s="1">
        <v>2.5670000000000002</v>
      </c>
      <c r="U103" s="1">
        <v>0.193</v>
      </c>
      <c r="V103" s="1">
        <v>0.14699999999999999</v>
      </c>
    </row>
    <row r="104" spans="1:25" x14ac:dyDescent="0.35">
      <c r="A104" s="1" t="s">
        <v>246</v>
      </c>
      <c r="B104" s="5">
        <v>45728</v>
      </c>
      <c r="C104" s="6">
        <f t="shared" si="1"/>
        <v>1</v>
      </c>
      <c r="D104" s="1">
        <v>2</v>
      </c>
      <c r="E104" s="7">
        <v>0.375</v>
      </c>
      <c r="H104" s="1" t="s">
        <v>32</v>
      </c>
      <c r="I104" s="1" t="s">
        <v>247</v>
      </c>
      <c r="J104" s="1">
        <v>1</v>
      </c>
      <c r="K104" s="1">
        <v>77</v>
      </c>
      <c r="L104" s="1" t="s">
        <v>27</v>
      </c>
      <c r="M104" s="1" t="s">
        <v>26</v>
      </c>
      <c r="N104" s="1">
        <v>0</v>
      </c>
      <c r="O104" s="1">
        <v>3</v>
      </c>
      <c r="Q104" s="1">
        <v>6651</v>
      </c>
      <c r="R104" s="1">
        <v>0.626</v>
      </c>
      <c r="S104" s="1">
        <v>2.141</v>
      </c>
      <c r="T104" s="1">
        <v>2.1269999999999998</v>
      </c>
      <c r="U104" s="1">
        <v>0.182</v>
      </c>
      <c r="V104" s="1">
        <v>0.113</v>
      </c>
    </row>
    <row r="105" spans="1:25" x14ac:dyDescent="0.35">
      <c r="A105" s="1" t="s">
        <v>248</v>
      </c>
      <c r="B105" s="5">
        <v>45728</v>
      </c>
      <c r="C105" s="6">
        <f t="shared" si="1"/>
        <v>1</v>
      </c>
      <c r="D105" s="1">
        <v>2</v>
      </c>
      <c r="E105" s="7">
        <v>0.375</v>
      </c>
      <c r="H105" s="1" t="s">
        <v>25</v>
      </c>
      <c r="I105" s="1" t="s">
        <v>26</v>
      </c>
      <c r="J105" s="1">
        <v>1</v>
      </c>
      <c r="K105" s="1">
        <v>77</v>
      </c>
      <c r="L105" s="1" t="s">
        <v>27</v>
      </c>
      <c r="M105" s="1" t="s">
        <v>26</v>
      </c>
      <c r="N105" s="1">
        <v>0</v>
      </c>
      <c r="O105" s="1">
        <v>3</v>
      </c>
      <c r="Q105" s="1" t="s">
        <v>249</v>
      </c>
      <c r="R105" s="1">
        <v>1.571</v>
      </c>
      <c r="S105" s="1">
        <v>4.4820000000000002</v>
      </c>
      <c r="T105" s="1">
        <v>4.4930000000000003</v>
      </c>
      <c r="U105" s="1">
        <v>0.45</v>
      </c>
      <c r="V105" s="1">
        <v>0.40100000000000002</v>
      </c>
    </row>
    <row r="106" spans="1:25" x14ac:dyDescent="0.35">
      <c r="A106" s="1" t="s">
        <v>250</v>
      </c>
      <c r="B106" s="12">
        <v>45728</v>
      </c>
      <c r="C106" s="6">
        <f t="shared" si="1"/>
        <v>1</v>
      </c>
      <c r="D106" s="1">
        <v>2</v>
      </c>
      <c r="E106" s="7">
        <v>0.38541666666666669</v>
      </c>
      <c r="H106" s="1" t="s">
        <v>25</v>
      </c>
      <c r="I106" s="1" t="s">
        <v>26</v>
      </c>
      <c r="J106" s="1">
        <v>1</v>
      </c>
      <c r="K106" s="1">
        <v>78</v>
      </c>
      <c r="L106" s="1" t="s">
        <v>27</v>
      </c>
      <c r="M106" s="1" t="s">
        <v>26</v>
      </c>
      <c r="N106" s="1">
        <v>0</v>
      </c>
      <c r="O106" s="1">
        <v>3</v>
      </c>
      <c r="Q106" s="1" t="s">
        <v>251</v>
      </c>
      <c r="R106" s="1">
        <v>2.1389999999999998</v>
      </c>
      <c r="S106" s="1">
        <v>4.5190000000000001</v>
      </c>
      <c r="T106" s="1">
        <v>4.5410000000000004</v>
      </c>
      <c r="U106" s="1">
        <v>0.442</v>
      </c>
      <c r="V106" s="1">
        <v>0.40699999999999997</v>
      </c>
    </row>
    <row r="107" spans="1:25" x14ac:dyDescent="0.35">
      <c r="A107" s="1" t="s">
        <v>252</v>
      </c>
      <c r="B107" s="5">
        <v>45728</v>
      </c>
      <c r="C107" s="6">
        <f t="shared" si="1"/>
        <v>1</v>
      </c>
      <c r="D107" s="1">
        <v>2</v>
      </c>
      <c r="E107" s="7">
        <v>0.38541666666666669</v>
      </c>
      <c r="H107" s="1" t="s">
        <v>32</v>
      </c>
      <c r="I107" s="1" t="s">
        <v>33</v>
      </c>
      <c r="J107" s="1">
        <v>1</v>
      </c>
      <c r="K107" s="1">
        <v>78</v>
      </c>
      <c r="L107" s="1" t="s">
        <v>27</v>
      </c>
      <c r="M107" s="1" t="s">
        <v>26</v>
      </c>
      <c r="N107" s="1">
        <v>0</v>
      </c>
      <c r="O107" s="1">
        <v>3</v>
      </c>
      <c r="Q107" s="1">
        <v>6652</v>
      </c>
      <c r="R107" s="1">
        <v>0.61399999999999999</v>
      </c>
      <c r="S107" s="1">
        <v>2.2989999999999999</v>
      </c>
      <c r="T107" s="1">
        <v>2.3119999999999998</v>
      </c>
      <c r="U107" s="1">
        <v>0.19</v>
      </c>
      <c r="V107" s="1">
        <v>0.125</v>
      </c>
    </row>
    <row r="108" spans="1:25" x14ac:dyDescent="0.35">
      <c r="A108" s="1" t="s">
        <v>253</v>
      </c>
      <c r="B108" s="5">
        <v>45728</v>
      </c>
      <c r="C108" s="6">
        <f t="shared" si="1"/>
        <v>1</v>
      </c>
      <c r="D108" s="1">
        <v>2</v>
      </c>
      <c r="E108" s="7">
        <v>0.39583333333333331</v>
      </c>
      <c r="H108" s="1" t="s">
        <v>25</v>
      </c>
      <c r="I108" s="1" t="s">
        <v>26</v>
      </c>
      <c r="J108" s="1">
        <v>1</v>
      </c>
      <c r="K108" s="1">
        <v>79</v>
      </c>
      <c r="L108" s="1" t="s">
        <v>27</v>
      </c>
      <c r="M108" s="1" t="s">
        <v>26</v>
      </c>
      <c r="N108" s="1">
        <v>0</v>
      </c>
      <c r="O108" s="1">
        <v>2</v>
      </c>
      <c r="Q108" s="1" t="s">
        <v>254</v>
      </c>
      <c r="R108" s="1">
        <v>1.57</v>
      </c>
      <c r="S108" s="1">
        <v>4.62</v>
      </c>
      <c r="T108" s="1">
        <v>4.5759999999999996</v>
      </c>
      <c r="U108" s="1">
        <v>0.44500000000000001</v>
      </c>
      <c r="V108" s="1">
        <v>0.30599999999999999</v>
      </c>
    </row>
    <row r="109" spans="1:25" x14ac:dyDescent="0.35">
      <c r="A109" s="1" t="s">
        <v>255</v>
      </c>
      <c r="B109" s="12">
        <v>45728</v>
      </c>
      <c r="C109" s="6">
        <f t="shared" si="1"/>
        <v>1</v>
      </c>
      <c r="D109" s="1">
        <v>2</v>
      </c>
      <c r="E109" s="7">
        <v>0.39583333333333331</v>
      </c>
      <c r="H109" s="1" t="s">
        <v>32</v>
      </c>
      <c r="I109" s="1" t="s">
        <v>33</v>
      </c>
      <c r="J109" s="1">
        <v>1</v>
      </c>
      <c r="K109" s="1">
        <v>79</v>
      </c>
      <c r="L109" s="1" t="s">
        <v>27</v>
      </c>
      <c r="M109" s="1" t="s">
        <v>26</v>
      </c>
      <c r="N109" s="1">
        <v>0</v>
      </c>
      <c r="O109" s="1">
        <v>2</v>
      </c>
      <c r="Q109" s="1">
        <v>6653</v>
      </c>
      <c r="R109" s="1">
        <v>0.69299999999999995</v>
      </c>
      <c r="S109" s="1">
        <v>2.3530000000000002</v>
      </c>
      <c r="T109" s="1">
        <v>2.3140000000000001</v>
      </c>
      <c r="U109" s="1">
        <v>0.17799999999999999</v>
      </c>
      <c r="V109" s="1">
        <v>0.14000000000000001</v>
      </c>
    </row>
    <row r="110" spans="1:25" x14ac:dyDescent="0.35">
      <c r="A110" s="1" t="s">
        <v>256</v>
      </c>
      <c r="B110" s="5">
        <v>45728</v>
      </c>
      <c r="C110" s="6">
        <f t="shared" si="1"/>
        <v>1</v>
      </c>
      <c r="D110" s="1">
        <v>2</v>
      </c>
      <c r="E110" s="7">
        <v>0.39583333333333331</v>
      </c>
      <c r="H110" s="1" t="s">
        <v>32</v>
      </c>
      <c r="I110" s="1" t="s">
        <v>247</v>
      </c>
      <c r="J110" s="1">
        <v>1</v>
      </c>
      <c r="K110" s="1">
        <v>79</v>
      </c>
      <c r="L110" s="1" t="s">
        <v>27</v>
      </c>
      <c r="M110" s="1" t="s">
        <v>26</v>
      </c>
      <c r="N110" s="1">
        <v>0</v>
      </c>
      <c r="O110" s="1">
        <v>2</v>
      </c>
      <c r="Q110" s="1">
        <v>6654</v>
      </c>
      <c r="R110" s="1">
        <v>0.623</v>
      </c>
      <c r="S110" s="1">
        <v>2.3260000000000001</v>
      </c>
      <c r="T110" s="1" t="s">
        <v>257</v>
      </c>
      <c r="U110" s="1">
        <v>0.17199999999999999</v>
      </c>
      <c r="V110" s="1">
        <v>0.126</v>
      </c>
    </row>
    <row r="111" spans="1:25" x14ac:dyDescent="0.35">
      <c r="A111" s="1" t="s">
        <v>258</v>
      </c>
      <c r="B111" s="5">
        <v>45728</v>
      </c>
      <c r="C111" s="6">
        <f t="shared" si="1"/>
        <v>1</v>
      </c>
      <c r="D111" s="1">
        <v>2</v>
      </c>
      <c r="E111" s="7">
        <v>0.41666666666666669</v>
      </c>
      <c r="H111" s="1" t="s">
        <v>25</v>
      </c>
      <c r="I111" s="1" t="s">
        <v>26</v>
      </c>
      <c r="J111" s="1">
        <v>3</v>
      </c>
      <c r="K111" s="1">
        <v>80</v>
      </c>
      <c r="L111" s="1" t="s">
        <v>38</v>
      </c>
      <c r="M111" s="1">
        <v>6</v>
      </c>
      <c r="N111" s="1">
        <v>0</v>
      </c>
      <c r="O111" s="1">
        <v>0</v>
      </c>
      <c r="Q111" s="1" t="s">
        <v>259</v>
      </c>
      <c r="R111" s="1">
        <v>1.0980000000000001</v>
      </c>
      <c r="S111" s="1">
        <v>3.0640000000000001</v>
      </c>
      <c r="T111" s="1">
        <v>3.1970000000000001</v>
      </c>
      <c r="U111" s="1">
        <v>0.29599999999999999</v>
      </c>
      <c r="V111" s="1">
        <v>0.24099999999999999</v>
      </c>
    </row>
    <row r="112" spans="1:25" x14ac:dyDescent="0.35">
      <c r="A112" s="1" t="s">
        <v>260</v>
      </c>
      <c r="B112" s="12">
        <v>45728</v>
      </c>
      <c r="C112" s="6">
        <f t="shared" si="1"/>
        <v>1</v>
      </c>
      <c r="D112" s="1">
        <v>2</v>
      </c>
      <c r="E112" s="7">
        <v>0.41666666666666669</v>
      </c>
      <c r="H112" s="1" t="s">
        <v>25</v>
      </c>
      <c r="I112" s="1" t="s">
        <v>26</v>
      </c>
      <c r="J112" s="1">
        <v>3</v>
      </c>
      <c r="K112" s="1">
        <v>81</v>
      </c>
      <c r="L112" s="1" t="s">
        <v>38</v>
      </c>
      <c r="M112" s="1">
        <v>6</v>
      </c>
      <c r="N112" s="1">
        <v>1</v>
      </c>
      <c r="O112" s="1">
        <v>0</v>
      </c>
      <c r="Q112" s="1" t="s">
        <v>261</v>
      </c>
      <c r="R112" s="1">
        <v>1.482</v>
      </c>
      <c r="S112" s="1">
        <v>3.43</v>
      </c>
      <c r="T112" s="1" t="s">
        <v>26</v>
      </c>
      <c r="U112" s="1">
        <v>0.36799999999999999</v>
      </c>
      <c r="V112" s="1">
        <v>0.29399999999999998</v>
      </c>
    </row>
    <row r="113" spans="1:23" x14ac:dyDescent="0.35">
      <c r="A113" s="1" t="s">
        <v>262</v>
      </c>
      <c r="B113" s="5">
        <v>45728</v>
      </c>
      <c r="C113" s="6">
        <f t="shared" si="1"/>
        <v>1</v>
      </c>
      <c r="D113" s="1">
        <v>2</v>
      </c>
      <c r="E113" s="7">
        <v>0.43055555555555558</v>
      </c>
      <c r="H113" s="1" t="s">
        <v>25</v>
      </c>
      <c r="I113" s="1" t="s">
        <v>26</v>
      </c>
      <c r="J113" s="1">
        <v>3</v>
      </c>
      <c r="K113" s="1">
        <v>82</v>
      </c>
      <c r="L113" s="1" t="s">
        <v>38</v>
      </c>
      <c r="M113" s="1">
        <v>6</v>
      </c>
      <c r="N113" s="1">
        <v>0</v>
      </c>
      <c r="O113" s="1">
        <v>0</v>
      </c>
      <c r="Q113" s="1" t="s">
        <v>263</v>
      </c>
      <c r="R113" s="1">
        <v>1.9630000000000001</v>
      </c>
      <c r="S113" s="1">
        <v>4.4909999999999997</v>
      </c>
      <c r="T113" s="1">
        <v>4.5529999999999999</v>
      </c>
      <c r="U113" s="1">
        <v>0.436</v>
      </c>
      <c r="V113" s="1">
        <v>0.41</v>
      </c>
    </row>
    <row r="114" spans="1:23" x14ac:dyDescent="0.35">
      <c r="A114" s="1" t="s">
        <v>264</v>
      </c>
      <c r="B114" s="5">
        <v>45728</v>
      </c>
      <c r="C114" s="6">
        <f t="shared" si="1"/>
        <v>1</v>
      </c>
      <c r="D114" s="1">
        <v>2</v>
      </c>
      <c r="E114" s="7">
        <v>0.43055555555555558</v>
      </c>
      <c r="H114" s="1" t="s">
        <v>25</v>
      </c>
      <c r="I114" s="1" t="s">
        <v>26</v>
      </c>
      <c r="J114" s="1">
        <v>3</v>
      </c>
      <c r="K114" s="1">
        <v>83</v>
      </c>
      <c r="L114" s="1" t="s">
        <v>38</v>
      </c>
      <c r="M114" s="1">
        <v>6</v>
      </c>
      <c r="N114" s="1">
        <v>0</v>
      </c>
      <c r="O114" s="1">
        <v>0</v>
      </c>
      <c r="Q114" s="1" t="s">
        <v>265</v>
      </c>
      <c r="R114" s="1">
        <v>1.3919999999999999</v>
      </c>
      <c r="S114" s="1">
        <v>3.109</v>
      </c>
      <c r="T114" s="1">
        <v>3.105</v>
      </c>
      <c r="U114" s="1">
        <v>0.30099999999999999</v>
      </c>
      <c r="V114" s="1">
        <v>0.27400000000000002</v>
      </c>
      <c r="W114" s="1" t="s">
        <v>266</v>
      </c>
    </row>
    <row r="115" spans="1:23" x14ac:dyDescent="0.35">
      <c r="A115" s="1" t="s">
        <v>267</v>
      </c>
      <c r="B115" s="12">
        <v>45728</v>
      </c>
      <c r="C115" s="6">
        <f t="shared" si="1"/>
        <v>1</v>
      </c>
      <c r="D115" s="1">
        <v>2</v>
      </c>
      <c r="E115" s="7">
        <v>0.4375</v>
      </c>
      <c r="H115" s="1" t="s">
        <v>32</v>
      </c>
      <c r="I115" s="1" t="s">
        <v>33</v>
      </c>
      <c r="J115" s="1">
        <v>3</v>
      </c>
      <c r="K115" s="1">
        <v>84</v>
      </c>
      <c r="L115" s="1" t="s">
        <v>38</v>
      </c>
      <c r="M115" s="1">
        <v>6</v>
      </c>
      <c r="N115" s="1">
        <v>0</v>
      </c>
      <c r="O115" s="1">
        <v>0</v>
      </c>
      <c r="Q115" s="1" t="s">
        <v>268</v>
      </c>
      <c r="R115" s="1">
        <v>0.59699999999999998</v>
      </c>
      <c r="S115" s="1">
        <v>2.37</v>
      </c>
      <c r="T115" s="1">
        <v>2.2050000000000001</v>
      </c>
      <c r="U115" s="1">
        <v>0.20699999999999999</v>
      </c>
      <c r="V115" s="1">
        <v>0.1</v>
      </c>
      <c r="W115" s="1" t="s">
        <v>269</v>
      </c>
    </row>
    <row r="116" spans="1:23" x14ac:dyDescent="0.35">
      <c r="A116" s="1" t="s">
        <v>270</v>
      </c>
      <c r="B116" s="5">
        <v>45728</v>
      </c>
      <c r="C116" s="6">
        <f t="shared" si="1"/>
        <v>1</v>
      </c>
      <c r="D116" s="1">
        <v>2</v>
      </c>
      <c r="E116" s="7">
        <v>0.4375</v>
      </c>
      <c r="H116" s="1" t="s">
        <v>25</v>
      </c>
      <c r="I116" s="1" t="s">
        <v>26</v>
      </c>
      <c r="J116" s="1">
        <v>3</v>
      </c>
      <c r="K116" s="1">
        <v>84</v>
      </c>
      <c r="L116" s="1" t="s">
        <v>38</v>
      </c>
      <c r="M116" s="1">
        <v>6</v>
      </c>
      <c r="N116" s="1">
        <v>0</v>
      </c>
      <c r="O116" s="1">
        <v>4</v>
      </c>
      <c r="Q116" s="1" t="s">
        <v>271</v>
      </c>
      <c r="R116" s="1">
        <v>2.29</v>
      </c>
      <c r="S116" s="1">
        <v>4.6159999999999997</v>
      </c>
      <c r="T116" s="1">
        <v>4.4870000000000001</v>
      </c>
      <c r="U116" s="1">
        <v>0.498</v>
      </c>
      <c r="V116" s="1">
        <v>0.626</v>
      </c>
    </row>
    <row r="117" spans="1:23" x14ac:dyDescent="0.35">
      <c r="A117" s="1" t="s">
        <v>272</v>
      </c>
      <c r="B117" s="5">
        <v>45728</v>
      </c>
      <c r="C117" s="6">
        <f t="shared" si="1"/>
        <v>1</v>
      </c>
      <c r="D117" s="1">
        <v>2</v>
      </c>
      <c r="E117" s="7">
        <v>0.45833333333333331</v>
      </c>
      <c r="H117" s="1" t="s">
        <v>25</v>
      </c>
      <c r="I117" s="1" t="s">
        <v>26</v>
      </c>
      <c r="J117" s="1">
        <v>3</v>
      </c>
      <c r="K117" s="1">
        <v>85</v>
      </c>
      <c r="L117" s="1" t="s">
        <v>38</v>
      </c>
      <c r="M117" s="1">
        <v>6</v>
      </c>
      <c r="N117" s="1">
        <v>0</v>
      </c>
      <c r="O117" s="1">
        <v>0</v>
      </c>
      <c r="Q117" s="1" t="s">
        <v>273</v>
      </c>
      <c r="R117" s="1">
        <v>2.1429999999999998</v>
      </c>
      <c r="S117" s="1">
        <v>4.74</v>
      </c>
      <c r="T117" s="1">
        <v>3.7469999999999999</v>
      </c>
      <c r="U117" s="1">
        <v>0.54500000000000004</v>
      </c>
      <c r="V117" s="1">
        <v>0.50900000000000001</v>
      </c>
    </row>
    <row r="118" spans="1:23" x14ac:dyDescent="0.35">
      <c r="A118" s="1" t="s">
        <v>274</v>
      </c>
      <c r="B118" s="12">
        <v>45728</v>
      </c>
      <c r="C118" s="6">
        <f t="shared" si="1"/>
        <v>1</v>
      </c>
      <c r="D118" s="1">
        <v>2</v>
      </c>
      <c r="E118" s="7">
        <v>0.45833333333333331</v>
      </c>
      <c r="H118" s="1" t="s">
        <v>32</v>
      </c>
      <c r="I118" s="1" t="s">
        <v>247</v>
      </c>
      <c r="J118" s="1">
        <v>3</v>
      </c>
      <c r="K118" s="1">
        <v>85</v>
      </c>
      <c r="L118" s="1" t="s">
        <v>38</v>
      </c>
      <c r="M118" s="1">
        <v>6</v>
      </c>
      <c r="N118" s="1">
        <v>0</v>
      </c>
      <c r="O118" s="1">
        <v>0</v>
      </c>
      <c r="Q118" s="1">
        <v>6657</v>
      </c>
      <c r="R118" s="1">
        <v>0.65300000000000002</v>
      </c>
      <c r="S118" s="1">
        <v>2.1909999999999998</v>
      </c>
      <c r="T118" s="1" t="s">
        <v>26</v>
      </c>
      <c r="U118" s="1">
        <v>0.152</v>
      </c>
      <c r="V118" s="1">
        <v>0.14599999999999999</v>
      </c>
    </row>
    <row r="119" spans="1:23" x14ac:dyDescent="0.35">
      <c r="A119" s="1" t="s">
        <v>275</v>
      </c>
      <c r="B119" s="5">
        <v>45728</v>
      </c>
      <c r="C119" s="6">
        <f t="shared" si="1"/>
        <v>1</v>
      </c>
      <c r="D119" s="1">
        <v>2</v>
      </c>
      <c r="E119" s="7">
        <v>0.45833333333333331</v>
      </c>
      <c r="H119" s="1" t="s">
        <v>32</v>
      </c>
      <c r="I119" s="1" t="s">
        <v>33</v>
      </c>
      <c r="J119" s="1">
        <v>3</v>
      </c>
      <c r="K119" s="1">
        <v>85</v>
      </c>
      <c r="L119" s="1" t="s">
        <v>38</v>
      </c>
      <c r="M119" s="1">
        <v>6</v>
      </c>
      <c r="N119" s="1">
        <v>0</v>
      </c>
      <c r="O119" s="1">
        <v>0</v>
      </c>
      <c r="Q119" s="1">
        <v>6658</v>
      </c>
      <c r="R119" s="1">
        <v>0.90600000000000003</v>
      </c>
      <c r="S119" s="1">
        <v>3.484</v>
      </c>
      <c r="T119" s="1">
        <v>3.4980000000000002</v>
      </c>
      <c r="U119" s="1">
        <v>0.28599999999999998</v>
      </c>
      <c r="V119" s="1">
        <v>0.14199999999999999</v>
      </c>
    </row>
    <row r="120" spans="1:23" x14ac:dyDescent="0.35">
      <c r="A120" s="1" t="s">
        <v>276</v>
      </c>
      <c r="B120" s="5">
        <v>45728</v>
      </c>
      <c r="C120" s="6">
        <f t="shared" si="1"/>
        <v>1</v>
      </c>
      <c r="D120" s="1">
        <v>2</v>
      </c>
      <c r="E120" s="7">
        <v>0.45833333333333331</v>
      </c>
      <c r="H120" s="1" t="s">
        <v>25</v>
      </c>
      <c r="I120" s="1" t="s">
        <v>26</v>
      </c>
      <c r="J120" s="1">
        <v>3</v>
      </c>
      <c r="K120" s="1">
        <v>86</v>
      </c>
      <c r="L120" s="1" t="s">
        <v>38</v>
      </c>
      <c r="M120" s="1">
        <v>6</v>
      </c>
      <c r="N120" s="1">
        <v>0</v>
      </c>
      <c r="O120" s="1">
        <v>4</v>
      </c>
      <c r="Q120" s="1" t="s">
        <v>277</v>
      </c>
      <c r="R120" s="1">
        <v>2.1669999999999998</v>
      </c>
      <c r="S120" s="1">
        <v>4.9630000000000001</v>
      </c>
      <c r="T120" s="1" t="s">
        <v>26</v>
      </c>
      <c r="U120" s="1">
        <v>0.47499999999999998</v>
      </c>
      <c r="V120" s="1">
        <v>0.64900000000000002</v>
      </c>
    </row>
    <row r="121" spans="1:23" x14ac:dyDescent="0.35">
      <c r="A121" s="1" t="s">
        <v>278</v>
      </c>
      <c r="B121" s="12">
        <v>45728</v>
      </c>
      <c r="C121" s="6">
        <f t="shared" si="1"/>
        <v>1</v>
      </c>
      <c r="D121" s="1">
        <v>2</v>
      </c>
      <c r="E121" s="7">
        <v>0.47222222222222221</v>
      </c>
      <c r="H121" s="1" t="s">
        <v>32</v>
      </c>
      <c r="I121" s="1" t="s">
        <v>247</v>
      </c>
      <c r="J121" s="1">
        <v>3</v>
      </c>
      <c r="K121" s="1">
        <v>86</v>
      </c>
      <c r="L121" s="1" t="s">
        <v>38</v>
      </c>
      <c r="M121" s="1">
        <v>6</v>
      </c>
      <c r="N121" s="1">
        <v>0</v>
      </c>
      <c r="O121" s="1">
        <v>4</v>
      </c>
      <c r="Q121" s="1">
        <v>6659</v>
      </c>
      <c r="R121" s="1">
        <v>0.51700000000000002</v>
      </c>
      <c r="S121" s="1" t="s">
        <v>26</v>
      </c>
      <c r="T121" s="1">
        <v>1.6639999999999999</v>
      </c>
      <c r="U121" s="1">
        <v>0.13900000000000001</v>
      </c>
      <c r="V121" s="1">
        <v>0.105</v>
      </c>
      <c r="W121" s="1" t="s">
        <v>279</v>
      </c>
    </row>
    <row r="122" spans="1:23" x14ac:dyDescent="0.35">
      <c r="A122" s="1" t="s">
        <v>280</v>
      </c>
      <c r="B122" s="5">
        <v>45728</v>
      </c>
      <c r="C122" s="6">
        <f t="shared" si="1"/>
        <v>1</v>
      </c>
      <c r="D122" s="1">
        <v>2</v>
      </c>
      <c r="E122" s="7">
        <v>0.47222222222222221</v>
      </c>
      <c r="H122" s="1" t="s">
        <v>32</v>
      </c>
      <c r="I122" s="1" t="s">
        <v>247</v>
      </c>
      <c r="J122" s="1">
        <v>3</v>
      </c>
      <c r="K122" s="1">
        <v>86</v>
      </c>
      <c r="L122" s="1" t="s">
        <v>38</v>
      </c>
      <c r="M122" s="1">
        <v>6</v>
      </c>
      <c r="N122" s="1">
        <v>0</v>
      </c>
      <c r="O122" s="1">
        <v>4</v>
      </c>
      <c r="Q122" s="1">
        <v>6660</v>
      </c>
      <c r="R122" s="1">
        <v>0.68500000000000005</v>
      </c>
      <c r="S122" s="1">
        <v>2.6389999999999998</v>
      </c>
      <c r="T122" s="1" t="s">
        <v>26</v>
      </c>
      <c r="U122" s="1">
        <v>0.20799999999999999</v>
      </c>
      <c r="V122" s="1">
        <v>0.107</v>
      </c>
    </row>
    <row r="123" spans="1:23" x14ac:dyDescent="0.35">
      <c r="A123" s="1" t="s">
        <v>281</v>
      </c>
      <c r="B123" s="5">
        <v>45728</v>
      </c>
      <c r="C123" s="6">
        <f t="shared" si="1"/>
        <v>1</v>
      </c>
      <c r="D123" s="1">
        <v>2</v>
      </c>
      <c r="E123" s="7">
        <v>0.47222222222222221</v>
      </c>
      <c r="H123" s="1" t="s">
        <v>32</v>
      </c>
      <c r="I123" s="1" t="s">
        <v>33</v>
      </c>
      <c r="J123" s="1">
        <v>3</v>
      </c>
      <c r="K123" s="1">
        <v>86</v>
      </c>
      <c r="L123" s="1" t="s">
        <v>38</v>
      </c>
      <c r="M123" s="1">
        <v>6</v>
      </c>
      <c r="N123" s="1">
        <v>0</v>
      </c>
      <c r="O123" s="1">
        <v>4</v>
      </c>
      <c r="Q123" s="1" t="s">
        <v>282</v>
      </c>
      <c r="R123" s="1">
        <v>0.66400000000000003</v>
      </c>
      <c r="S123" s="1">
        <v>2.1560000000000001</v>
      </c>
      <c r="T123" s="1">
        <v>2.1389999999999998</v>
      </c>
      <c r="U123" s="1">
        <v>0.2</v>
      </c>
      <c r="V123" s="1">
        <v>0.13500000000000001</v>
      </c>
    </row>
    <row r="124" spans="1:23" x14ac:dyDescent="0.35">
      <c r="A124" s="1" t="s">
        <v>283</v>
      </c>
      <c r="B124" s="12">
        <v>45728</v>
      </c>
      <c r="C124" s="6">
        <f t="shared" si="1"/>
        <v>1</v>
      </c>
      <c r="D124" s="1">
        <v>2</v>
      </c>
      <c r="E124" s="7">
        <v>0.47222222222222221</v>
      </c>
      <c r="H124" s="1" t="s">
        <v>32</v>
      </c>
      <c r="I124" s="1" t="s">
        <v>247</v>
      </c>
      <c r="J124" s="1">
        <v>3</v>
      </c>
      <c r="K124" s="1">
        <v>86</v>
      </c>
      <c r="L124" s="1" t="s">
        <v>38</v>
      </c>
      <c r="M124" s="1">
        <v>6</v>
      </c>
      <c r="N124" s="1">
        <v>0</v>
      </c>
      <c r="O124" s="1">
        <v>4</v>
      </c>
      <c r="Q124" s="1">
        <v>6663</v>
      </c>
      <c r="R124" s="1">
        <v>0.63300000000000001</v>
      </c>
      <c r="S124" s="1" t="s">
        <v>26</v>
      </c>
      <c r="T124" s="1" t="s">
        <v>26</v>
      </c>
      <c r="U124" s="1">
        <v>0.17499999999999999</v>
      </c>
      <c r="V124" s="1">
        <v>0.13100000000000001</v>
      </c>
    </row>
    <row r="125" spans="1:23" x14ac:dyDescent="0.35">
      <c r="A125" s="1" t="s">
        <v>284</v>
      </c>
      <c r="B125" s="5">
        <v>45728</v>
      </c>
      <c r="C125" s="6">
        <f t="shared" si="1"/>
        <v>1</v>
      </c>
      <c r="D125" s="1">
        <v>2</v>
      </c>
      <c r="E125" s="7">
        <v>0.47222222222222221</v>
      </c>
      <c r="H125" s="1" t="s">
        <v>32</v>
      </c>
      <c r="I125" s="1" t="s">
        <v>247</v>
      </c>
      <c r="J125" s="1">
        <v>3</v>
      </c>
      <c r="K125" s="1">
        <v>86</v>
      </c>
      <c r="L125" s="1" t="s">
        <v>38</v>
      </c>
      <c r="M125" s="1">
        <v>6</v>
      </c>
      <c r="N125" s="1">
        <v>0</v>
      </c>
      <c r="O125" s="1">
        <v>4</v>
      </c>
      <c r="Q125" s="1">
        <v>6664</v>
      </c>
      <c r="R125" s="1">
        <v>0.61</v>
      </c>
      <c r="S125" s="1">
        <v>1.9019999999999999</v>
      </c>
      <c r="T125" s="1">
        <v>1.8260000000000001</v>
      </c>
      <c r="U125" s="1">
        <v>0.16600000000000001</v>
      </c>
      <c r="V125" s="1">
        <v>0.126</v>
      </c>
    </row>
    <row r="126" spans="1:23" x14ac:dyDescent="0.35">
      <c r="A126" s="1" t="s">
        <v>285</v>
      </c>
      <c r="B126" s="5">
        <v>45728</v>
      </c>
      <c r="C126" s="6">
        <f t="shared" si="1"/>
        <v>1</v>
      </c>
      <c r="D126" s="1">
        <v>2</v>
      </c>
      <c r="E126" s="7">
        <v>0.47222222222222221</v>
      </c>
      <c r="H126" s="1" t="s">
        <v>32</v>
      </c>
      <c r="I126" s="1" t="s">
        <v>247</v>
      </c>
      <c r="J126" s="1">
        <v>3</v>
      </c>
      <c r="K126" s="1">
        <v>86</v>
      </c>
      <c r="L126" s="1" t="s">
        <v>38</v>
      </c>
      <c r="M126" s="1">
        <v>6</v>
      </c>
      <c r="N126" s="1">
        <v>0</v>
      </c>
      <c r="O126" s="1">
        <v>4</v>
      </c>
      <c r="Q126" s="1">
        <v>6665</v>
      </c>
      <c r="R126" s="1">
        <v>0.58499999999999996</v>
      </c>
      <c r="S126" s="1">
        <v>1.79</v>
      </c>
      <c r="T126" s="1">
        <v>1.78</v>
      </c>
      <c r="U126" s="1">
        <v>0.191</v>
      </c>
      <c r="V126" s="1">
        <v>0.13300000000000001</v>
      </c>
    </row>
    <row r="127" spans="1:23" x14ac:dyDescent="0.35">
      <c r="A127" s="1" t="s">
        <v>286</v>
      </c>
      <c r="B127" s="12">
        <v>45728</v>
      </c>
      <c r="C127" s="6">
        <f t="shared" si="1"/>
        <v>1</v>
      </c>
      <c r="D127" s="1">
        <v>2</v>
      </c>
      <c r="E127" s="7">
        <v>0.47222222222222221</v>
      </c>
      <c r="H127" s="1" t="s">
        <v>32</v>
      </c>
      <c r="I127" s="1" t="s">
        <v>247</v>
      </c>
      <c r="J127" s="1">
        <v>3</v>
      </c>
      <c r="K127" s="1">
        <v>86</v>
      </c>
      <c r="L127" s="1" t="s">
        <v>38</v>
      </c>
      <c r="M127" s="1">
        <v>6</v>
      </c>
      <c r="N127" s="1">
        <v>0</v>
      </c>
      <c r="O127" s="1">
        <v>4</v>
      </c>
      <c r="Q127" s="1">
        <v>6666</v>
      </c>
      <c r="R127" s="1">
        <v>0.66100000000000003</v>
      </c>
      <c r="S127" s="1">
        <v>2.3149999999999999</v>
      </c>
      <c r="T127" s="1" t="s">
        <v>26</v>
      </c>
      <c r="U127" s="1">
        <v>0.182</v>
      </c>
      <c r="V127" s="1">
        <v>0.112</v>
      </c>
    </row>
    <row r="128" spans="1:23" x14ac:dyDescent="0.35">
      <c r="A128" s="1" t="s">
        <v>287</v>
      </c>
      <c r="B128" s="5">
        <v>45728</v>
      </c>
      <c r="C128" s="6">
        <f t="shared" si="1"/>
        <v>1</v>
      </c>
      <c r="D128" s="1">
        <v>2</v>
      </c>
      <c r="E128" s="7">
        <v>0.47222222222222221</v>
      </c>
      <c r="H128" s="1" t="s">
        <v>32</v>
      </c>
      <c r="I128" s="1" t="s">
        <v>247</v>
      </c>
      <c r="J128" s="1">
        <v>3</v>
      </c>
      <c r="K128" s="1">
        <v>86</v>
      </c>
      <c r="L128" s="1" t="s">
        <v>38</v>
      </c>
      <c r="M128" s="1">
        <v>6</v>
      </c>
      <c r="N128" s="1">
        <v>0</v>
      </c>
      <c r="O128" s="1">
        <v>4</v>
      </c>
      <c r="Q128" s="1">
        <v>6667</v>
      </c>
      <c r="R128" s="1">
        <v>0.65800000000000003</v>
      </c>
      <c r="S128" s="1" t="s">
        <v>26</v>
      </c>
      <c r="T128" s="1">
        <v>2.407</v>
      </c>
      <c r="U128" s="1">
        <v>0.192</v>
      </c>
      <c r="V128" s="1">
        <v>0.13200000000000001</v>
      </c>
    </row>
    <row r="129" spans="1:23" x14ac:dyDescent="0.35">
      <c r="A129" s="1" t="s">
        <v>288</v>
      </c>
      <c r="B129" s="5">
        <v>45728</v>
      </c>
      <c r="C129" s="6">
        <f t="shared" si="1"/>
        <v>1</v>
      </c>
      <c r="D129" s="1">
        <v>2</v>
      </c>
      <c r="E129" s="7">
        <v>0.47222222222222221</v>
      </c>
      <c r="H129" s="1" t="s">
        <v>25</v>
      </c>
      <c r="I129" s="1" t="s">
        <v>26</v>
      </c>
      <c r="J129" s="1">
        <v>3</v>
      </c>
      <c r="K129" s="1">
        <v>87</v>
      </c>
      <c r="L129" s="1" t="s">
        <v>38</v>
      </c>
      <c r="M129" s="1">
        <v>6</v>
      </c>
      <c r="N129" s="1">
        <v>0</v>
      </c>
      <c r="O129" s="1">
        <v>0</v>
      </c>
      <c r="Q129" s="1" t="s">
        <v>289</v>
      </c>
      <c r="R129" s="1">
        <v>1.8240000000000001</v>
      </c>
      <c r="S129" s="1">
        <v>5.0720000000000001</v>
      </c>
      <c r="T129" s="1">
        <v>5.14</v>
      </c>
      <c r="U129" s="1">
        <v>0.51200000000000001</v>
      </c>
      <c r="V129" s="1">
        <v>0.34100000000000003</v>
      </c>
    </row>
    <row r="130" spans="1:23" x14ac:dyDescent="0.35">
      <c r="A130" s="1" t="s">
        <v>290</v>
      </c>
      <c r="B130" s="12">
        <v>45728</v>
      </c>
      <c r="C130" s="6">
        <f t="shared" si="1"/>
        <v>1</v>
      </c>
      <c r="D130" s="1">
        <v>2</v>
      </c>
      <c r="E130" s="7">
        <v>0.64583333333333337</v>
      </c>
      <c r="H130" s="1" t="s">
        <v>25</v>
      </c>
      <c r="I130" s="1" t="s">
        <v>26</v>
      </c>
      <c r="J130" s="1">
        <v>3</v>
      </c>
      <c r="K130" s="1">
        <v>88</v>
      </c>
      <c r="L130" s="1" t="s">
        <v>38</v>
      </c>
      <c r="M130" s="1">
        <v>7</v>
      </c>
      <c r="N130" s="1">
        <v>0</v>
      </c>
      <c r="O130" s="1">
        <v>0</v>
      </c>
      <c r="Q130" s="1" t="s">
        <v>291</v>
      </c>
      <c r="R130" s="1">
        <v>1.3140000000000001</v>
      </c>
      <c r="S130" s="1">
        <v>3.69</v>
      </c>
      <c r="T130" s="1" t="s">
        <v>26</v>
      </c>
      <c r="U130" s="1">
        <v>0.38400000000000001</v>
      </c>
      <c r="V130" s="1">
        <v>0.27200000000000002</v>
      </c>
    </row>
    <row r="131" spans="1:23" x14ac:dyDescent="0.35">
      <c r="A131" s="1" t="s">
        <v>292</v>
      </c>
      <c r="B131" s="5">
        <v>45728</v>
      </c>
      <c r="C131" s="6">
        <f t="shared" ref="C131:C194" si="2">INT((DATE(2000, MONTH(B131), DAY(B131)) - DATE(2000, 3, 12)) / 15) + 1</f>
        <v>1</v>
      </c>
      <c r="D131" s="1">
        <v>2</v>
      </c>
      <c r="E131" s="7">
        <v>0.64583333333333337</v>
      </c>
      <c r="H131" s="1" t="s">
        <v>32</v>
      </c>
      <c r="I131" s="1" t="s">
        <v>33</v>
      </c>
      <c r="J131" s="1">
        <v>3</v>
      </c>
      <c r="K131" s="1">
        <v>88</v>
      </c>
      <c r="L131" s="1" t="s">
        <v>38</v>
      </c>
      <c r="M131" s="1">
        <v>7</v>
      </c>
      <c r="N131" s="1">
        <v>0</v>
      </c>
      <c r="O131" s="1">
        <v>0</v>
      </c>
      <c r="Q131" s="1">
        <v>6668</v>
      </c>
      <c r="R131" s="1">
        <v>0.62</v>
      </c>
      <c r="S131" s="1" t="s">
        <v>26</v>
      </c>
      <c r="T131" s="1">
        <v>2.0960000000000001</v>
      </c>
      <c r="U131" s="1">
        <v>0.16600000000000001</v>
      </c>
      <c r="V131" s="1">
        <v>0.126</v>
      </c>
    </row>
    <row r="132" spans="1:23" x14ac:dyDescent="0.35">
      <c r="A132" s="1" t="s">
        <v>293</v>
      </c>
      <c r="B132" s="5">
        <v>45728</v>
      </c>
      <c r="C132" s="6">
        <f t="shared" si="2"/>
        <v>1</v>
      </c>
      <c r="D132" s="1">
        <v>2</v>
      </c>
      <c r="E132" s="7">
        <v>0.64583333333333337</v>
      </c>
      <c r="H132" s="1" t="s">
        <v>25</v>
      </c>
      <c r="I132" s="1" t="s">
        <v>26</v>
      </c>
      <c r="J132" s="1">
        <v>3</v>
      </c>
      <c r="K132" s="1">
        <v>89</v>
      </c>
      <c r="L132" s="1" t="s">
        <v>38</v>
      </c>
      <c r="M132" s="1">
        <v>7</v>
      </c>
      <c r="N132" s="1">
        <v>0</v>
      </c>
      <c r="O132" s="1">
        <v>0</v>
      </c>
      <c r="Q132" s="1" t="s">
        <v>294</v>
      </c>
      <c r="R132" s="1">
        <v>1.2789999999999999</v>
      </c>
      <c r="S132" s="1">
        <v>2.9990000000000001</v>
      </c>
      <c r="T132" s="1">
        <v>3.2290000000000001</v>
      </c>
      <c r="U132" s="1">
        <v>0.34300000000000003</v>
      </c>
      <c r="V132" s="1">
        <v>0.27100000000000002</v>
      </c>
    </row>
    <row r="133" spans="1:23" x14ac:dyDescent="0.35">
      <c r="A133" s="1" t="s">
        <v>295</v>
      </c>
      <c r="B133" s="12">
        <v>45728</v>
      </c>
      <c r="C133" s="6">
        <f t="shared" si="2"/>
        <v>1</v>
      </c>
      <c r="D133" s="1">
        <v>2</v>
      </c>
      <c r="E133" s="7">
        <v>0.64583333333333337</v>
      </c>
      <c r="H133" s="1" t="s">
        <v>25</v>
      </c>
      <c r="I133" s="1" t="s">
        <v>26</v>
      </c>
      <c r="J133" s="1">
        <v>3</v>
      </c>
      <c r="K133" s="1">
        <v>90</v>
      </c>
      <c r="L133" s="1" t="s">
        <v>38</v>
      </c>
      <c r="M133" s="1">
        <v>7</v>
      </c>
      <c r="N133" s="1">
        <v>0</v>
      </c>
      <c r="O133" s="1">
        <v>0</v>
      </c>
      <c r="Q133" s="1" t="s">
        <v>296</v>
      </c>
      <c r="R133" s="1">
        <v>2.141</v>
      </c>
      <c r="S133" s="1">
        <v>5.008</v>
      </c>
      <c r="T133" s="1" t="s">
        <v>26</v>
      </c>
      <c r="U133" s="1">
        <v>0.48299999999999998</v>
      </c>
      <c r="V133" s="1">
        <v>0.47</v>
      </c>
      <c r="W133" s="1" t="s">
        <v>266</v>
      </c>
    </row>
    <row r="134" spans="1:23" x14ac:dyDescent="0.35">
      <c r="A134" s="1" t="s">
        <v>297</v>
      </c>
      <c r="B134" s="5">
        <v>45728</v>
      </c>
      <c r="C134" s="6">
        <f t="shared" si="2"/>
        <v>1</v>
      </c>
      <c r="D134" s="1">
        <v>2</v>
      </c>
      <c r="E134" s="7">
        <v>0.64583333333333337</v>
      </c>
      <c r="H134" s="1" t="s">
        <v>32</v>
      </c>
      <c r="I134" s="1" t="s">
        <v>33</v>
      </c>
      <c r="J134" s="1">
        <v>3</v>
      </c>
      <c r="K134" s="1">
        <v>90</v>
      </c>
      <c r="L134" s="1" t="s">
        <v>38</v>
      </c>
      <c r="M134" s="1">
        <v>7</v>
      </c>
      <c r="N134" s="1">
        <v>0</v>
      </c>
      <c r="O134" s="1">
        <v>0</v>
      </c>
      <c r="Q134" s="1">
        <v>6669</v>
      </c>
      <c r="R134" s="1">
        <v>0.84299999999999997</v>
      </c>
      <c r="S134" s="1">
        <v>3.0139999999999998</v>
      </c>
      <c r="T134" s="1">
        <v>2.984</v>
      </c>
      <c r="U134" s="1">
        <v>0.26700000000000002</v>
      </c>
      <c r="V134" s="1">
        <v>0.14799999999999999</v>
      </c>
    </row>
    <row r="135" spans="1:23" x14ac:dyDescent="0.35">
      <c r="A135" s="1" t="s">
        <v>298</v>
      </c>
      <c r="B135" s="5">
        <v>45728</v>
      </c>
      <c r="C135" s="6">
        <f t="shared" si="2"/>
        <v>1</v>
      </c>
      <c r="D135" s="1">
        <v>2</v>
      </c>
      <c r="E135" s="7">
        <v>0.64583333333333337</v>
      </c>
      <c r="H135" s="1" t="s">
        <v>32</v>
      </c>
      <c r="I135" s="1" t="s">
        <v>247</v>
      </c>
      <c r="J135" s="1">
        <v>3</v>
      </c>
      <c r="K135" s="1">
        <v>90</v>
      </c>
      <c r="L135" s="1" t="s">
        <v>38</v>
      </c>
      <c r="M135" s="1">
        <v>7</v>
      </c>
      <c r="N135" s="1">
        <v>0</v>
      </c>
      <c r="O135" s="1">
        <v>0</v>
      </c>
      <c r="Q135" s="1">
        <v>6670</v>
      </c>
      <c r="R135" s="1">
        <v>0.67500000000000004</v>
      </c>
      <c r="S135" s="1">
        <v>2.4529999999999998</v>
      </c>
      <c r="T135" s="1">
        <v>2.5179999999999998</v>
      </c>
      <c r="U135" s="1">
        <v>0.24199999999999999</v>
      </c>
      <c r="V135" s="1">
        <v>0.17299999999999999</v>
      </c>
    </row>
    <row r="136" spans="1:23" x14ac:dyDescent="0.35">
      <c r="A136" s="1" t="s">
        <v>299</v>
      </c>
      <c r="B136" s="12">
        <v>45728</v>
      </c>
      <c r="C136" s="6">
        <f t="shared" si="2"/>
        <v>1</v>
      </c>
      <c r="D136" s="1">
        <v>2</v>
      </c>
      <c r="E136" s="7">
        <v>0.66666666666666663</v>
      </c>
      <c r="H136" s="1" t="s">
        <v>25</v>
      </c>
      <c r="I136" s="1" t="s">
        <v>26</v>
      </c>
      <c r="J136" s="1">
        <v>6</v>
      </c>
      <c r="K136" s="1">
        <v>91</v>
      </c>
      <c r="L136" s="1" t="s">
        <v>38</v>
      </c>
      <c r="M136" s="1">
        <v>8</v>
      </c>
      <c r="N136" s="1">
        <v>0</v>
      </c>
      <c r="O136" s="1">
        <v>0</v>
      </c>
      <c r="Q136" s="1" t="s">
        <v>300</v>
      </c>
      <c r="R136" s="1">
        <v>1.347</v>
      </c>
      <c r="S136" s="1">
        <v>3.1520000000000001</v>
      </c>
      <c r="T136" s="1">
        <v>3.2250000000000001</v>
      </c>
      <c r="U136" s="1">
        <v>0.35699999999999998</v>
      </c>
      <c r="V136" s="1">
        <v>0.24099999999999999</v>
      </c>
    </row>
    <row r="137" spans="1:23" x14ac:dyDescent="0.35">
      <c r="A137" s="1" t="s">
        <v>301</v>
      </c>
      <c r="B137" s="5">
        <v>45728</v>
      </c>
      <c r="C137" s="6">
        <f t="shared" si="2"/>
        <v>1</v>
      </c>
      <c r="D137" s="1">
        <v>2</v>
      </c>
      <c r="E137" s="7">
        <v>0.66666666666666663</v>
      </c>
      <c r="H137" s="1" t="s">
        <v>32</v>
      </c>
      <c r="I137" s="1" t="s">
        <v>33</v>
      </c>
      <c r="J137" s="1">
        <v>6</v>
      </c>
      <c r="K137" s="1">
        <v>92</v>
      </c>
      <c r="L137" s="1" t="s">
        <v>38</v>
      </c>
      <c r="M137" s="1">
        <v>8</v>
      </c>
      <c r="N137" s="1">
        <v>0</v>
      </c>
      <c r="O137" s="1">
        <v>0</v>
      </c>
      <c r="Q137" s="1">
        <v>6672</v>
      </c>
      <c r="R137" s="1">
        <v>0.627</v>
      </c>
      <c r="S137" s="1">
        <v>2.2370000000000001</v>
      </c>
      <c r="T137" s="1" t="s">
        <v>26</v>
      </c>
      <c r="U137" s="1">
        <v>0.191</v>
      </c>
      <c r="V137" s="1">
        <v>0.11899999999999999</v>
      </c>
    </row>
    <row r="138" spans="1:23" x14ac:dyDescent="0.35">
      <c r="A138" s="1" t="s">
        <v>302</v>
      </c>
      <c r="B138" s="5">
        <v>45728</v>
      </c>
      <c r="C138" s="6">
        <f t="shared" si="2"/>
        <v>1</v>
      </c>
      <c r="D138" s="1">
        <v>2</v>
      </c>
      <c r="E138" s="7">
        <v>0.66666666666666663</v>
      </c>
      <c r="H138" s="1" t="s">
        <v>25</v>
      </c>
      <c r="I138" s="1" t="s">
        <v>26</v>
      </c>
      <c r="J138" s="1">
        <v>6</v>
      </c>
      <c r="K138" s="1">
        <v>92</v>
      </c>
      <c r="L138" s="1" t="s">
        <v>38</v>
      </c>
      <c r="M138" s="1">
        <v>8</v>
      </c>
      <c r="N138" s="1">
        <v>0</v>
      </c>
      <c r="O138" s="1">
        <v>0</v>
      </c>
      <c r="Q138" s="1" t="s">
        <v>303</v>
      </c>
      <c r="R138" s="1">
        <v>1.623</v>
      </c>
      <c r="S138" s="1">
        <v>5.2080000000000002</v>
      </c>
      <c r="T138" s="1">
        <v>5.0780000000000003</v>
      </c>
      <c r="U138" s="1">
        <v>0.58399999999999996</v>
      </c>
      <c r="V138" s="1">
        <v>0.48</v>
      </c>
    </row>
    <row r="139" spans="1:23" x14ac:dyDescent="0.35">
      <c r="A139" s="1" t="s">
        <v>304</v>
      </c>
      <c r="B139" s="12">
        <v>45728</v>
      </c>
      <c r="C139" s="6">
        <f t="shared" si="2"/>
        <v>1</v>
      </c>
      <c r="D139" s="1">
        <v>2</v>
      </c>
      <c r="E139" s="7">
        <v>0.6875</v>
      </c>
      <c r="H139" s="1" t="s">
        <v>203</v>
      </c>
      <c r="I139" s="1" t="s">
        <v>26</v>
      </c>
      <c r="J139" s="1">
        <v>6</v>
      </c>
      <c r="K139" s="1">
        <v>93</v>
      </c>
      <c r="L139" s="1" t="s">
        <v>38</v>
      </c>
      <c r="M139" s="1">
        <v>8</v>
      </c>
      <c r="N139" s="1">
        <v>0</v>
      </c>
      <c r="O139" s="1">
        <v>0</v>
      </c>
      <c r="Q139" s="1" t="s">
        <v>305</v>
      </c>
      <c r="R139" s="1">
        <v>1.56</v>
      </c>
      <c r="S139" s="1">
        <v>3.5470000000000002</v>
      </c>
      <c r="T139" s="1">
        <v>3.609</v>
      </c>
      <c r="U139" s="1">
        <v>0.39300000000000002</v>
      </c>
      <c r="V139" s="1">
        <v>0.377</v>
      </c>
      <c r="W139" s="1" t="s">
        <v>306</v>
      </c>
    </row>
    <row r="140" spans="1:23" x14ac:dyDescent="0.35">
      <c r="A140" s="1" t="s">
        <v>307</v>
      </c>
      <c r="B140" s="5">
        <v>45728</v>
      </c>
      <c r="C140" s="6">
        <f t="shared" si="2"/>
        <v>1</v>
      </c>
      <c r="D140" s="1">
        <v>2</v>
      </c>
      <c r="E140" s="7">
        <v>0.6875</v>
      </c>
      <c r="H140" s="1" t="s">
        <v>59</v>
      </c>
      <c r="I140" s="1" t="s">
        <v>33</v>
      </c>
      <c r="J140" s="1">
        <v>6</v>
      </c>
      <c r="K140" s="1">
        <v>93</v>
      </c>
      <c r="L140" s="1" t="s">
        <v>38</v>
      </c>
      <c r="M140" s="1">
        <v>8</v>
      </c>
      <c r="N140" s="1">
        <v>0</v>
      </c>
      <c r="O140" s="1">
        <v>0</v>
      </c>
      <c r="Q140" s="1">
        <v>6673</v>
      </c>
      <c r="R140" s="1">
        <v>0.73699999999999999</v>
      </c>
      <c r="S140" s="1">
        <v>2.6749999999999998</v>
      </c>
      <c r="T140" s="1">
        <v>2.633</v>
      </c>
      <c r="U140" s="1">
        <v>0.216</v>
      </c>
      <c r="V140" s="1">
        <v>0.128</v>
      </c>
    </row>
    <row r="141" spans="1:23" x14ac:dyDescent="0.35">
      <c r="A141" s="1" t="s">
        <v>308</v>
      </c>
      <c r="B141" s="5">
        <v>45728</v>
      </c>
      <c r="C141" s="6">
        <f t="shared" si="2"/>
        <v>1</v>
      </c>
      <c r="D141" s="1">
        <v>2</v>
      </c>
      <c r="E141" s="7">
        <v>0.6875</v>
      </c>
      <c r="H141" s="1" t="s">
        <v>59</v>
      </c>
      <c r="I141" s="1" t="s">
        <v>247</v>
      </c>
      <c r="J141" s="1">
        <v>6</v>
      </c>
      <c r="K141" s="1">
        <v>93</v>
      </c>
      <c r="L141" s="1" t="s">
        <v>38</v>
      </c>
      <c r="M141" s="1">
        <v>8</v>
      </c>
      <c r="N141" s="1">
        <v>0</v>
      </c>
      <c r="O141" s="1">
        <v>0</v>
      </c>
      <c r="Q141" s="1">
        <v>6674</v>
      </c>
      <c r="R141" s="1">
        <v>0.65500000000000003</v>
      </c>
      <c r="S141" s="1">
        <v>2.35</v>
      </c>
      <c r="T141" s="1">
        <v>2.31</v>
      </c>
      <c r="U141" s="1">
        <v>0.193</v>
      </c>
      <c r="V141" s="1">
        <v>0.104</v>
      </c>
    </row>
    <row r="142" spans="1:23" x14ac:dyDescent="0.35">
      <c r="A142" s="1" t="s">
        <v>309</v>
      </c>
      <c r="B142" s="12">
        <v>45728</v>
      </c>
      <c r="C142" s="6">
        <f t="shared" si="2"/>
        <v>1</v>
      </c>
      <c r="D142" s="1">
        <v>2</v>
      </c>
      <c r="E142" s="7">
        <v>0.6875</v>
      </c>
      <c r="H142" s="1" t="s">
        <v>59</v>
      </c>
      <c r="I142" s="1" t="s">
        <v>247</v>
      </c>
      <c r="J142" s="1">
        <v>6</v>
      </c>
      <c r="K142" s="1">
        <v>93</v>
      </c>
      <c r="L142" s="1" t="s">
        <v>38</v>
      </c>
      <c r="M142" s="1">
        <v>8</v>
      </c>
      <c r="N142" s="1">
        <v>0</v>
      </c>
      <c r="O142" s="1">
        <v>0</v>
      </c>
      <c r="Q142" s="1">
        <v>6675</v>
      </c>
      <c r="R142" s="1">
        <v>0.61099999999999999</v>
      </c>
      <c r="S142" s="1">
        <v>2.5310000000000001</v>
      </c>
      <c r="T142" s="1">
        <v>2.363</v>
      </c>
      <c r="U142" s="1">
        <v>0.20799999999999999</v>
      </c>
      <c r="V142" s="1">
        <v>0.114</v>
      </c>
    </row>
    <row r="143" spans="1:23" x14ac:dyDescent="0.35">
      <c r="A143" s="1" t="s">
        <v>310</v>
      </c>
      <c r="B143" s="5">
        <v>45728</v>
      </c>
      <c r="C143" s="6">
        <f t="shared" si="2"/>
        <v>1</v>
      </c>
      <c r="D143" s="1">
        <v>2</v>
      </c>
      <c r="E143" s="7">
        <v>0.6875</v>
      </c>
      <c r="H143" s="1" t="s">
        <v>59</v>
      </c>
      <c r="I143" s="1" t="s">
        <v>247</v>
      </c>
      <c r="J143" s="1">
        <v>6</v>
      </c>
      <c r="K143" s="1">
        <v>93</v>
      </c>
      <c r="L143" s="1" t="s">
        <v>38</v>
      </c>
      <c r="M143" s="1">
        <v>8</v>
      </c>
      <c r="N143" s="1">
        <v>0</v>
      </c>
      <c r="O143" s="1">
        <v>0</v>
      </c>
      <c r="Q143" s="1">
        <v>6676</v>
      </c>
      <c r="R143" s="1">
        <v>0.91800000000000004</v>
      </c>
      <c r="S143" s="1">
        <v>3.1909999999999998</v>
      </c>
      <c r="T143" s="1">
        <v>3.2280000000000002</v>
      </c>
      <c r="U143" s="1">
        <v>0.25700000000000001</v>
      </c>
      <c r="V143" s="1">
        <v>0.155</v>
      </c>
      <c r="W143" s="1" t="s">
        <v>311</v>
      </c>
    </row>
    <row r="144" spans="1:23" x14ac:dyDescent="0.35">
      <c r="A144" s="1" t="s">
        <v>312</v>
      </c>
      <c r="B144" s="5">
        <v>45728</v>
      </c>
      <c r="C144" s="6">
        <f t="shared" si="2"/>
        <v>1</v>
      </c>
      <c r="D144" s="1">
        <v>2</v>
      </c>
      <c r="E144" s="7">
        <v>0.6875</v>
      </c>
      <c r="H144" s="1" t="s">
        <v>25</v>
      </c>
      <c r="I144" s="1" t="s">
        <v>26</v>
      </c>
      <c r="J144" s="1">
        <v>6</v>
      </c>
      <c r="K144" s="1">
        <v>94</v>
      </c>
      <c r="L144" s="1" t="s">
        <v>38</v>
      </c>
      <c r="M144" s="1">
        <v>8</v>
      </c>
      <c r="N144" s="1">
        <v>0</v>
      </c>
      <c r="O144" s="1">
        <v>0</v>
      </c>
      <c r="Q144" s="1" t="s">
        <v>313</v>
      </c>
      <c r="R144" s="1">
        <v>2.0960000000000001</v>
      </c>
      <c r="S144" s="1">
        <v>4.7270000000000003</v>
      </c>
      <c r="T144" s="1">
        <v>4.7590000000000003</v>
      </c>
      <c r="U144" s="1">
        <v>0.502</v>
      </c>
      <c r="V144" s="1">
        <v>0.53900000000000003</v>
      </c>
    </row>
    <row r="145" spans="1:23" x14ac:dyDescent="0.35">
      <c r="A145" s="1" t="s">
        <v>314</v>
      </c>
      <c r="B145" s="12">
        <v>45728</v>
      </c>
      <c r="C145" s="6">
        <f t="shared" si="2"/>
        <v>1</v>
      </c>
      <c r="D145" s="1">
        <v>2</v>
      </c>
      <c r="E145" s="7">
        <v>0.70833333333333337</v>
      </c>
      <c r="H145" s="1" t="s">
        <v>32</v>
      </c>
      <c r="I145" s="1" t="s">
        <v>33</v>
      </c>
      <c r="J145" s="1">
        <v>6</v>
      </c>
      <c r="K145" s="1">
        <v>94</v>
      </c>
      <c r="L145" s="1" t="s">
        <v>38</v>
      </c>
      <c r="M145" s="1">
        <v>8</v>
      </c>
      <c r="N145" s="1">
        <v>0</v>
      </c>
      <c r="O145" s="1">
        <v>0</v>
      </c>
      <c r="Q145" s="1">
        <v>6677</v>
      </c>
      <c r="R145" s="1">
        <v>0.65800000000000003</v>
      </c>
      <c r="S145" s="1">
        <v>2.5680000000000001</v>
      </c>
      <c r="T145" s="1">
        <v>2.673</v>
      </c>
      <c r="U145" s="1">
        <v>0.21299999999999999</v>
      </c>
      <c r="V145" s="1">
        <v>0.13300000000000001</v>
      </c>
    </row>
    <row r="146" spans="1:23" x14ac:dyDescent="0.35">
      <c r="A146" s="1" t="s">
        <v>315</v>
      </c>
      <c r="B146" s="5">
        <v>45728</v>
      </c>
      <c r="C146" s="6">
        <f t="shared" si="2"/>
        <v>1</v>
      </c>
      <c r="D146" s="1">
        <v>2</v>
      </c>
      <c r="E146" s="7">
        <v>0.70833333333333337</v>
      </c>
      <c r="H146" s="1" t="s">
        <v>32</v>
      </c>
      <c r="I146" s="1" t="s">
        <v>247</v>
      </c>
      <c r="J146" s="1">
        <v>6</v>
      </c>
      <c r="K146" s="1">
        <v>94</v>
      </c>
      <c r="L146" s="1" t="s">
        <v>38</v>
      </c>
      <c r="M146" s="1">
        <v>8</v>
      </c>
      <c r="N146" s="1">
        <v>0</v>
      </c>
      <c r="O146" s="1">
        <v>0</v>
      </c>
      <c r="Q146" s="1">
        <v>6680</v>
      </c>
      <c r="R146" s="1">
        <v>0.68100000000000005</v>
      </c>
      <c r="S146" s="1">
        <v>1.931</v>
      </c>
      <c r="T146" s="1">
        <v>2.359</v>
      </c>
      <c r="U146" s="1">
        <v>0.22700000000000001</v>
      </c>
      <c r="V146" s="1">
        <v>0.121</v>
      </c>
    </row>
    <row r="147" spans="1:23" x14ac:dyDescent="0.35">
      <c r="A147" s="1" t="s">
        <v>316</v>
      </c>
      <c r="B147" s="5">
        <v>45728</v>
      </c>
      <c r="C147" s="6">
        <f t="shared" si="2"/>
        <v>1</v>
      </c>
      <c r="D147" s="1">
        <v>2</v>
      </c>
      <c r="E147" s="7">
        <v>0.70833333333333337</v>
      </c>
      <c r="H147" s="1" t="s">
        <v>32</v>
      </c>
      <c r="I147" s="1" t="s">
        <v>247</v>
      </c>
      <c r="J147" s="1">
        <v>6</v>
      </c>
      <c r="K147" s="1">
        <v>94</v>
      </c>
      <c r="L147" s="1" t="s">
        <v>38</v>
      </c>
      <c r="M147" s="1">
        <v>8</v>
      </c>
      <c r="N147" s="1">
        <v>0</v>
      </c>
      <c r="O147" s="1">
        <v>0</v>
      </c>
      <c r="Q147" s="1">
        <v>6721</v>
      </c>
      <c r="R147" s="1">
        <v>0.64200000000000002</v>
      </c>
      <c r="S147" s="1">
        <v>1.9279999999999999</v>
      </c>
      <c r="T147" s="1">
        <v>1.849</v>
      </c>
      <c r="U147" s="1">
        <v>0.17100000000000001</v>
      </c>
      <c r="V147" s="1">
        <v>0.127</v>
      </c>
    </row>
    <row r="148" spans="1:23" x14ac:dyDescent="0.35">
      <c r="A148" s="1" t="s">
        <v>317</v>
      </c>
      <c r="B148" s="12">
        <v>45728</v>
      </c>
      <c r="C148" s="6">
        <f t="shared" si="2"/>
        <v>1</v>
      </c>
      <c r="D148" s="1">
        <v>2</v>
      </c>
      <c r="E148" s="7">
        <v>0.70833333333333337</v>
      </c>
      <c r="H148" s="1" t="s">
        <v>32</v>
      </c>
      <c r="I148" s="1" t="s">
        <v>247</v>
      </c>
      <c r="J148" s="1">
        <v>6</v>
      </c>
      <c r="K148" s="1">
        <v>94</v>
      </c>
      <c r="L148" s="1" t="s">
        <v>38</v>
      </c>
      <c r="M148" s="1">
        <v>8</v>
      </c>
      <c r="N148" s="1">
        <v>0</v>
      </c>
      <c r="O148" s="1">
        <v>0</v>
      </c>
      <c r="Q148" s="1" t="s">
        <v>318</v>
      </c>
      <c r="R148" s="1">
        <v>0.58399999999999996</v>
      </c>
      <c r="S148" s="1">
        <v>2.0379999999999998</v>
      </c>
      <c r="T148" s="1">
        <v>1.871</v>
      </c>
      <c r="U148" s="1">
        <v>0.16900000000000001</v>
      </c>
      <c r="V148" s="1">
        <v>0.11799999999999999</v>
      </c>
      <c r="W148" s="1" t="s">
        <v>266</v>
      </c>
    </row>
    <row r="149" spans="1:23" x14ac:dyDescent="0.35">
      <c r="A149" s="2" t="s">
        <v>319</v>
      </c>
      <c r="B149" s="9">
        <v>45728</v>
      </c>
      <c r="C149" s="6">
        <f t="shared" si="2"/>
        <v>1</v>
      </c>
      <c r="D149" s="2">
        <v>2</v>
      </c>
      <c r="E149" s="11">
        <v>0.70833333333333337</v>
      </c>
      <c r="F149" s="2"/>
      <c r="G149" s="2"/>
      <c r="H149" s="2" t="s">
        <v>59</v>
      </c>
      <c r="I149" s="2" t="s">
        <v>247</v>
      </c>
      <c r="J149" s="2">
        <v>6</v>
      </c>
      <c r="K149" s="2">
        <v>92</v>
      </c>
      <c r="L149" s="2" t="s">
        <v>38</v>
      </c>
      <c r="M149" s="2">
        <v>8</v>
      </c>
      <c r="N149" s="2">
        <v>0</v>
      </c>
      <c r="O149" s="2">
        <v>0</v>
      </c>
      <c r="Q149" s="2">
        <v>6723</v>
      </c>
      <c r="R149" s="2">
        <v>0.72699999999999998</v>
      </c>
      <c r="S149" s="2" t="s">
        <v>26</v>
      </c>
      <c r="T149" s="2" t="s">
        <v>26</v>
      </c>
      <c r="U149" s="2">
        <v>0.22500000000000001</v>
      </c>
      <c r="V149" s="2">
        <v>0.1</v>
      </c>
      <c r="W149" s="2" t="s">
        <v>320</v>
      </c>
    </row>
    <row r="150" spans="1:23" x14ac:dyDescent="0.35">
      <c r="A150" s="2" t="s">
        <v>321</v>
      </c>
      <c r="B150" s="9">
        <v>45728</v>
      </c>
      <c r="C150" s="6">
        <f t="shared" si="2"/>
        <v>1</v>
      </c>
      <c r="D150" s="2">
        <v>2</v>
      </c>
      <c r="E150" s="11">
        <v>0.70833333333333337</v>
      </c>
      <c r="F150" s="2"/>
      <c r="G150" s="2"/>
      <c r="H150" s="2" t="s">
        <v>59</v>
      </c>
      <c r="I150" s="2" t="s">
        <v>247</v>
      </c>
      <c r="J150" s="2">
        <v>6</v>
      </c>
      <c r="K150" s="2">
        <v>92</v>
      </c>
      <c r="L150" s="2" t="s">
        <v>38</v>
      </c>
      <c r="M150" s="2">
        <v>8</v>
      </c>
      <c r="N150" s="2">
        <v>0</v>
      </c>
      <c r="O150" s="2">
        <v>0</v>
      </c>
      <c r="Q150" s="2">
        <v>6724</v>
      </c>
      <c r="R150" s="2">
        <v>0.621</v>
      </c>
      <c r="S150" s="2">
        <v>2.0539999999999998</v>
      </c>
      <c r="T150" s="2" t="s">
        <v>26</v>
      </c>
      <c r="U150" s="2">
        <v>0.215</v>
      </c>
      <c r="V150" s="2">
        <v>0.12</v>
      </c>
      <c r="W150" s="2" t="s">
        <v>322</v>
      </c>
    </row>
    <row r="151" spans="1:23" x14ac:dyDescent="0.35">
      <c r="A151" s="1" t="s">
        <v>323</v>
      </c>
      <c r="B151" s="12">
        <v>45741</v>
      </c>
      <c r="C151" s="6">
        <f t="shared" si="2"/>
        <v>1</v>
      </c>
      <c r="D151" s="1">
        <v>2</v>
      </c>
      <c r="E151" s="7">
        <v>0.43055555555555558</v>
      </c>
      <c r="H151" s="1" t="s">
        <v>32</v>
      </c>
      <c r="I151" s="1" t="s">
        <v>247</v>
      </c>
      <c r="J151" s="1">
        <v>1</v>
      </c>
      <c r="K151" s="1">
        <v>95</v>
      </c>
      <c r="L151" s="1" t="s">
        <v>38</v>
      </c>
      <c r="M151" s="1">
        <v>9</v>
      </c>
      <c r="N151" s="1">
        <v>0</v>
      </c>
      <c r="O151" s="1">
        <v>0</v>
      </c>
      <c r="Q151" s="1">
        <v>6725</v>
      </c>
      <c r="R151" s="1">
        <v>0.57199999999999995</v>
      </c>
      <c r="S151" s="1">
        <v>1.7070000000000001</v>
      </c>
      <c r="T151" s="1">
        <v>1.8560000000000001</v>
      </c>
      <c r="U151" s="1">
        <v>0.14299999999999999</v>
      </c>
      <c r="V151" s="1">
        <v>0.11</v>
      </c>
    </row>
    <row r="152" spans="1:23" x14ac:dyDescent="0.35">
      <c r="A152" s="1" t="s">
        <v>324</v>
      </c>
      <c r="B152" s="12">
        <v>45741</v>
      </c>
      <c r="C152" s="6">
        <f t="shared" si="2"/>
        <v>1</v>
      </c>
      <c r="D152" s="1">
        <v>2</v>
      </c>
      <c r="E152" s="7">
        <v>0.43055555555555558</v>
      </c>
      <c r="H152" s="1" t="s">
        <v>32</v>
      </c>
      <c r="I152" s="1" t="s">
        <v>33</v>
      </c>
      <c r="J152" s="1">
        <v>1</v>
      </c>
      <c r="K152" s="1">
        <v>95</v>
      </c>
      <c r="L152" s="1" t="s">
        <v>38</v>
      </c>
      <c r="M152" s="1">
        <v>9</v>
      </c>
      <c r="N152" s="1">
        <v>0</v>
      </c>
      <c r="O152" s="1">
        <v>0</v>
      </c>
      <c r="Q152" s="1">
        <v>6726</v>
      </c>
      <c r="R152" s="1">
        <v>0.59499999999999997</v>
      </c>
      <c r="S152" s="1">
        <v>2.2770000000000001</v>
      </c>
      <c r="T152" s="1" t="s">
        <v>26</v>
      </c>
      <c r="U152" s="1">
        <v>0.17599999999999999</v>
      </c>
      <c r="V152" s="1">
        <v>0.11700000000000001</v>
      </c>
    </row>
    <row r="153" spans="1:23" x14ac:dyDescent="0.35">
      <c r="A153" s="1" t="s">
        <v>325</v>
      </c>
      <c r="B153" s="12">
        <v>45741</v>
      </c>
      <c r="C153" s="6">
        <f t="shared" si="2"/>
        <v>1</v>
      </c>
      <c r="D153" s="1">
        <v>2</v>
      </c>
      <c r="E153" s="7">
        <v>0.43055555555555602</v>
      </c>
      <c r="H153" s="1" t="s">
        <v>25</v>
      </c>
      <c r="I153" s="1" t="s">
        <v>26</v>
      </c>
      <c r="J153" s="1">
        <v>1</v>
      </c>
      <c r="K153" s="1">
        <v>95</v>
      </c>
      <c r="L153" s="1" t="s">
        <v>38</v>
      </c>
      <c r="M153" s="1">
        <v>9</v>
      </c>
      <c r="N153" s="1">
        <v>0</v>
      </c>
      <c r="O153" s="1">
        <v>0</v>
      </c>
      <c r="Q153" s="1" t="s">
        <v>326</v>
      </c>
      <c r="R153" s="1">
        <v>2.0059999999999998</v>
      </c>
      <c r="S153" s="1">
        <v>5.3490000000000002</v>
      </c>
      <c r="T153" s="1">
        <v>5.3490000000000002</v>
      </c>
      <c r="U153" s="1">
        <v>0.57099999999999995</v>
      </c>
      <c r="V153" s="1">
        <v>0.35</v>
      </c>
    </row>
    <row r="154" spans="1:23" x14ac:dyDescent="0.35">
      <c r="A154" s="1" t="s">
        <v>327</v>
      </c>
      <c r="B154" s="12">
        <v>45741</v>
      </c>
      <c r="C154" s="6">
        <f t="shared" si="2"/>
        <v>1</v>
      </c>
      <c r="D154" s="1">
        <v>2</v>
      </c>
      <c r="E154" s="7">
        <v>0.43055555555555602</v>
      </c>
      <c r="H154" s="1" t="s">
        <v>25</v>
      </c>
      <c r="I154" s="1" t="s">
        <v>26</v>
      </c>
      <c r="J154" s="1">
        <v>1</v>
      </c>
      <c r="K154" s="1">
        <v>96</v>
      </c>
      <c r="L154" s="1" t="s">
        <v>38</v>
      </c>
      <c r="M154" s="1">
        <v>9</v>
      </c>
      <c r="N154" s="1">
        <v>0</v>
      </c>
      <c r="O154" s="1">
        <v>0</v>
      </c>
      <c r="Q154" s="1" t="s">
        <v>328</v>
      </c>
      <c r="R154" s="1">
        <v>2.13</v>
      </c>
      <c r="S154" s="1">
        <v>4.5940000000000003</v>
      </c>
      <c r="T154" s="1">
        <v>4.6790000000000003</v>
      </c>
      <c r="U154" s="1">
        <v>0.51900000000000002</v>
      </c>
      <c r="V154" s="1">
        <v>0.47</v>
      </c>
    </row>
    <row r="155" spans="1:23" x14ac:dyDescent="0.35">
      <c r="A155" s="1" t="s">
        <v>329</v>
      </c>
      <c r="B155" s="12">
        <v>45741</v>
      </c>
      <c r="C155" s="6">
        <f t="shared" si="2"/>
        <v>1</v>
      </c>
      <c r="D155" s="1">
        <v>2</v>
      </c>
      <c r="E155" s="7">
        <v>0.43055555555555602</v>
      </c>
      <c r="H155" s="1" t="s">
        <v>25</v>
      </c>
      <c r="I155" s="1" t="s">
        <v>26</v>
      </c>
      <c r="J155" s="1">
        <v>1</v>
      </c>
      <c r="K155" s="1">
        <v>97</v>
      </c>
      <c r="L155" s="1" t="s">
        <v>38</v>
      </c>
      <c r="M155" s="1">
        <v>9</v>
      </c>
      <c r="N155" s="1">
        <v>0</v>
      </c>
      <c r="O155" s="1">
        <v>0</v>
      </c>
      <c r="Q155" s="1" t="s">
        <v>330</v>
      </c>
      <c r="R155" s="1">
        <v>1.3879999999999999</v>
      </c>
      <c r="S155" s="1" t="s">
        <v>26</v>
      </c>
      <c r="T155" s="1">
        <v>3.452</v>
      </c>
      <c r="U155" s="1">
        <v>0.34899999999999998</v>
      </c>
      <c r="V155" s="1">
        <v>0.22900000000000001</v>
      </c>
    </row>
    <row r="156" spans="1:23" x14ac:dyDescent="0.35">
      <c r="A156" s="1" t="s">
        <v>331</v>
      </c>
      <c r="B156" s="12">
        <v>45741</v>
      </c>
      <c r="C156" s="6">
        <f t="shared" si="2"/>
        <v>1</v>
      </c>
      <c r="D156" s="1">
        <v>2</v>
      </c>
      <c r="E156" s="7">
        <v>0.43055555555555602</v>
      </c>
      <c r="H156" s="1" t="s">
        <v>32</v>
      </c>
      <c r="I156" s="1" t="s">
        <v>33</v>
      </c>
      <c r="J156" s="1">
        <v>1</v>
      </c>
      <c r="K156" s="1">
        <v>97</v>
      </c>
      <c r="L156" s="1" t="s">
        <v>38</v>
      </c>
      <c r="M156" s="1">
        <v>9</v>
      </c>
      <c r="N156" s="1">
        <v>0</v>
      </c>
      <c r="Q156" s="1">
        <v>6727</v>
      </c>
      <c r="R156" s="1">
        <v>0.56000000000000005</v>
      </c>
      <c r="S156" s="1">
        <v>1.958</v>
      </c>
      <c r="T156" s="1">
        <v>1.972</v>
      </c>
      <c r="U156" s="1">
        <v>0.184</v>
      </c>
      <c r="V156" s="1">
        <v>8.7999999999999995E-2</v>
      </c>
    </row>
    <row r="157" spans="1:23" x14ac:dyDescent="0.35">
      <c r="A157" s="1" t="s">
        <v>332</v>
      </c>
      <c r="B157" s="12">
        <v>45741</v>
      </c>
      <c r="C157" s="6">
        <f t="shared" si="2"/>
        <v>1</v>
      </c>
      <c r="D157" s="1">
        <v>2</v>
      </c>
      <c r="E157" s="7">
        <v>0.43055555555555602</v>
      </c>
      <c r="H157" s="1" t="s">
        <v>32</v>
      </c>
      <c r="I157" s="1" t="s">
        <v>33</v>
      </c>
      <c r="J157" s="1">
        <v>1</v>
      </c>
      <c r="K157" s="1">
        <v>98</v>
      </c>
      <c r="L157" s="1" t="s">
        <v>38</v>
      </c>
      <c r="M157" s="1">
        <v>9</v>
      </c>
      <c r="N157" s="1">
        <v>0</v>
      </c>
      <c r="Q157" s="1">
        <v>6728</v>
      </c>
      <c r="R157" s="1">
        <v>0.7</v>
      </c>
      <c r="S157" s="1">
        <v>2.2349999999999999</v>
      </c>
      <c r="T157" s="1">
        <v>2.0409999999999999</v>
      </c>
      <c r="U157" s="1">
        <v>0.20599999999999999</v>
      </c>
      <c r="V157" s="1">
        <v>0.129</v>
      </c>
    </row>
    <row r="158" spans="1:23" x14ac:dyDescent="0.35">
      <c r="A158" s="1" t="s">
        <v>333</v>
      </c>
      <c r="B158" s="12">
        <v>45741</v>
      </c>
      <c r="C158" s="6">
        <f t="shared" si="2"/>
        <v>1</v>
      </c>
      <c r="D158" s="1">
        <v>2</v>
      </c>
      <c r="E158" s="7">
        <v>0.43055555555555602</v>
      </c>
      <c r="H158" s="1" t="s">
        <v>25</v>
      </c>
      <c r="I158" s="1" t="s">
        <v>26</v>
      </c>
      <c r="J158" s="1">
        <v>1</v>
      </c>
      <c r="K158" s="1">
        <v>98</v>
      </c>
      <c r="L158" s="1" t="s">
        <v>38</v>
      </c>
      <c r="M158" s="1">
        <v>9</v>
      </c>
      <c r="N158" s="1">
        <v>0</v>
      </c>
      <c r="Q158" s="1" t="s">
        <v>334</v>
      </c>
      <c r="R158" s="1">
        <v>1.74</v>
      </c>
      <c r="S158" s="1">
        <v>3.87</v>
      </c>
      <c r="T158" s="1">
        <v>3.843</v>
      </c>
      <c r="U158" s="1">
        <v>0.33300000000000002</v>
      </c>
      <c r="V158" s="1">
        <v>0.26100000000000001</v>
      </c>
    </row>
    <row r="159" spans="1:23" x14ac:dyDescent="0.35">
      <c r="A159" s="1" t="s">
        <v>335</v>
      </c>
      <c r="B159" s="12">
        <v>45741</v>
      </c>
      <c r="C159" s="6">
        <f t="shared" si="2"/>
        <v>1</v>
      </c>
      <c r="D159" s="1">
        <v>2</v>
      </c>
      <c r="E159" s="7">
        <v>0.43055555555555602</v>
      </c>
      <c r="H159" s="1" t="s">
        <v>25</v>
      </c>
      <c r="I159" s="1" t="s">
        <v>26</v>
      </c>
      <c r="J159" s="1">
        <v>1</v>
      </c>
      <c r="K159" s="1">
        <v>99</v>
      </c>
      <c r="L159" s="1" t="s">
        <v>38</v>
      </c>
      <c r="M159" s="1">
        <v>9</v>
      </c>
      <c r="N159" s="1">
        <v>0</v>
      </c>
      <c r="Q159" s="1" t="s">
        <v>336</v>
      </c>
      <c r="R159" s="1">
        <v>1.6020000000000001</v>
      </c>
      <c r="S159" s="1">
        <v>3.86</v>
      </c>
      <c r="T159" s="1">
        <v>3.899</v>
      </c>
      <c r="U159" s="1">
        <v>0.40100000000000002</v>
      </c>
      <c r="V159" s="1">
        <v>0.318</v>
      </c>
    </row>
    <row r="160" spans="1:23" x14ac:dyDescent="0.35">
      <c r="A160" s="1" t="s">
        <v>337</v>
      </c>
      <c r="B160" s="12">
        <v>45741</v>
      </c>
      <c r="C160" s="6">
        <f t="shared" si="2"/>
        <v>1</v>
      </c>
      <c r="D160" s="1">
        <v>2</v>
      </c>
      <c r="E160" s="7">
        <v>0.43055555555555602</v>
      </c>
      <c r="H160" s="1" t="s">
        <v>32</v>
      </c>
      <c r="I160" s="1" t="s">
        <v>33</v>
      </c>
      <c r="J160" s="1">
        <v>1</v>
      </c>
      <c r="K160" s="1">
        <v>99</v>
      </c>
      <c r="L160" s="1" t="s">
        <v>38</v>
      </c>
      <c r="M160" s="1">
        <v>9</v>
      </c>
      <c r="N160" s="1">
        <v>0</v>
      </c>
      <c r="Q160" s="1">
        <v>6777</v>
      </c>
      <c r="R160" s="1">
        <v>0.72</v>
      </c>
      <c r="S160" s="1">
        <v>2.3780000000000001</v>
      </c>
      <c r="T160" s="1">
        <v>2.4369999999999998</v>
      </c>
      <c r="U160" s="1">
        <v>0.216</v>
      </c>
      <c r="V160" s="1">
        <v>0.13</v>
      </c>
      <c r="W160" s="1" t="s">
        <v>266</v>
      </c>
    </row>
    <row r="161" spans="1:26" x14ac:dyDescent="0.35">
      <c r="A161" s="1" t="s">
        <v>338</v>
      </c>
      <c r="B161" s="12">
        <v>45741</v>
      </c>
      <c r="C161" s="6">
        <f t="shared" si="2"/>
        <v>1</v>
      </c>
      <c r="D161" s="1">
        <v>2</v>
      </c>
      <c r="E161" s="7">
        <v>0.45833333333333331</v>
      </c>
      <c r="H161" s="1" t="s">
        <v>32</v>
      </c>
      <c r="I161" s="1" t="s">
        <v>247</v>
      </c>
      <c r="J161" s="1">
        <v>1</v>
      </c>
      <c r="K161" s="1">
        <v>99</v>
      </c>
      <c r="L161" s="1" t="s">
        <v>38</v>
      </c>
      <c r="M161" s="1">
        <v>9</v>
      </c>
      <c r="N161" s="1">
        <v>0</v>
      </c>
      <c r="Q161" s="1">
        <v>6730</v>
      </c>
      <c r="R161" s="1">
        <v>0.64900000000000002</v>
      </c>
      <c r="S161" s="1">
        <v>2.0390000000000001</v>
      </c>
      <c r="T161" s="1">
        <v>2.012</v>
      </c>
      <c r="U161" s="1">
        <v>0.19700000000000001</v>
      </c>
      <c r="V161" s="1">
        <v>0.125</v>
      </c>
    </row>
    <row r="162" spans="1:26" x14ac:dyDescent="0.35">
      <c r="A162" s="1" t="s">
        <v>339</v>
      </c>
      <c r="B162" s="12">
        <v>45741</v>
      </c>
      <c r="C162" s="6">
        <f t="shared" si="2"/>
        <v>1</v>
      </c>
      <c r="D162" s="1">
        <v>2</v>
      </c>
      <c r="E162" s="7">
        <v>0.45833333333333331</v>
      </c>
      <c r="H162" s="1" t="s">
        <v>25</v>
      </c>
      <c r="I162" s="1" t="s">
        <v>26</v>
      </c>
      <c r="J162" s="1">
        <v>1</v>
      </c>
      <c r="K162" s="1">
        <v>100</v>
      </c>
      <c r="L162" s="1" t="s">
        <v>38</v>
      </c>
      <c r="M162" s="1">
        <v>10</v>
      </c>
      <c r="N162" s="1">
        <v>0</v>
      </c>
      <c r="Q162" s="1" t="s">
        <v>340</v>
      </c>
      <c r="R162" s="1">
        <v>1.919</v>
      </c>
      <c r="S162" s="1">
        <v>4.5869999999999997</v>
      </c>
      <c r="T162" s="1">
        <v>4.3940000000000001</v>
      </c>
      <c r="U162" s="1">
        <v>0.51</v>
      </c>
      <c r="V162" s="1">
        <v>0.46800000000000003</v>
      </c>
    </row>
    <row r="163" spans="1:26" x14ac:dyDescent="0.35">
      <c r="A163" s="1" t="s">
        <v>341</v>
      </c>
      <c r="B163" s="12">
        <v>45741</v>
      </c>
      <c r="C163" s="6">
        <f t="shared" si="2"/>
        <v>1</v>
      </c>
      <c r="D163" s="1">
        <v>2</v>
      </c>
      <c r="E163" s="7">
        <v>0.45833333333333331</v>
      </c>
      <c r="H163" s="1" t="s">
        <v>32</v>
      </c>
      <c r="I163" s="1" t="s">
        <v>33</v>
      </c>
      <c r="J163" s="1">
        <v>1</v>
      </c>
      <c r="K163" s="1">
        <v>100</v>
      </c>
      <c r="L163" s="1" t="s">
        <v>38</v>
      </c>
      <c r="M163" s="1">
        <v>10</v>
      </c>
      <c r="N163" s="1">
        <v>0</v>
      </c>
      <c r="Q163" s="1">
        <v>6731</v>
      </c>
      <c r="R163" s="1">
        <v>0.64800000000000002</v>
      </c>
      <c r="S163" s="1">
        <v>2.4039999999999999</v>
      </c>
      <c r="T163" s="1">
        <v>2.395</v>
      </c>
      <c r="U163" s="1">
        <v>0.18</v>
      </c>
      <c r="V163" s="1">
        <v>0.121</v>
      </c>
    </row>
    <row r="164" spans="1:26" s="16" customFormat="1" x14ac:dyDescent="0.35">
      <c r="A164" s="2" t="s">
        <v>342</v>
      </c>
      <c r="B164" s="17">
        <v>45741</v>
      </c>
      <c r="C164" s="6">
        <f t="shared" si="2"/>
        <v>1</v>
      </c>
      <c r="D164" s="2">
        <v>2</v>
      </c>
      <c r="E164" s="11">
        <v>0.45833333333333298</v>
      </c>
      <c r="F164" s="2"/>
      <c r="G164" s="2"/>
      <c r="H164" s="2" t="s">
        <v>203</v>
      </c>
      <c r="I164" s="2" t="s">
        <v>26</v>
      </c>
      <c r="J164" s="2">
        <v>1</v>
      </c>
      <c r="K164" s="2">
        <v>101</v>
      </c>
      <c r="L164" s="2" t="s">
        <v>38</v>
      </c>
      <c r="M164" s="2">
        <v>10</v>
      </c>
      <c r="N164" s="2">
        <v>0</v>
      </c>
      <c r="O164" s="2"/>
      <c r="P164" s="2"/>
      <c r="Q164" s="2" t="s">
        <v>343</v>
      </c>
      <c r="R164" s="2">
        <v>1.4570000000000001</v>
      </c>
      <c r="S164" s="2">
        <v>2.8980000000000001</v>
      </c>
      <c r="T164" s="2">
        <v>2.956</v>
      </c>
      <c r="U164" s="2">
        <v>0.316</v>
      </c>
      <c r="V164" s="2">
        <v>0.33700000000000002</v>
      </c>
      <c r="W164" s="2" t="s">
        <v>344</v>
      </c>
      <c r="X164" s="2"/>
      <c r="Z164" s="15"/>
    </row>
    <row r="165" spans="1:26" x14ac:dyDescent="0.35">
      <c r="A165" s="1" t="s">
        <v>345</v>
      </c>
      <c r="B165" s="12">
        <v>45741</v>
      </c>
      <c r="C165" s="6">
        <f t="shared" si="2"/>
        <v>1</v>
      </c>
      <c r="D165" s="1">
        <v>2</v>
      </c>
      <c r="E165" s="7">
        <v>0.45833333333333298</v>
      </c>
      <c r="H165" s="1" t="s">
        <v>32</v>
      </c>
      <c r="I165" s="1" t="s">
        <v>33</v>
      </c>
      <c r="J165" s="1">
        <v>1</v>
      </c>
      <c r="K165" s="1">
        <v>102</v>
      </c>
      <c r="L165" s="1" t="s">
        <v>38</v>
      </c>
      <c r="M165" s="1">
        <v>10</v>
      </c>
      <c r="N165" s="1">
        <v>0</v>
      </c>
      <c r="Q165" s="1">
        <v>6732</v>
      </c>
      <c r="R165" s="1">
        <v>0.62</v>
      </c>
      <c r="S165" s="1">
        <v>2.3559999999999999</v>
      </c>
      <c r="T165" s="1">
        <v>2.0430000000000001</v>
      </c>
      <c r="U165" s="1">
        <v>0.17899999999999999</v>
      </c>
      <c r="V165" s="1">
        <v>0.104</v>
      </c>
    </row>
    <row r="166" spans="1:26" x14ac:dyDescent="0.35">
      <c r="A166" s="1" t="s">
        <v>346</v>
      </c>
      <c r="B166" s="12">
        <v>45741</v>
      </c>
      <c r="C166" s="6">
        <f t="shared" si="2"/>
        <v>1</v>
      </c>
      <c r="D166" s="1">
        <v>2</v>
      </c>
      <c r="E166" s="7">
        <v>0.45833333333333298</v>
      </c>
      <c r="H166" s="1" t="s">
        <v>25</v>
      </c>
      <c r="I166" s="1" t="s">
        <v>26</v>
      </c>
      <c r="J166" s="1">
        <v>1</v>
      </c>
      <c r="K166" s="1">
        <v>102</v>
      </c>
      <c r="L166" s="1" t="s">
        <v>38</v>
      </c>
      <c r="M166" s="1">
        <v>10</v>
      </c>
      <c r="N166" s="1">
        <v>0</v>
      </c>
      <c r="Q166" s="1" t="s">
        <v>347</v>
      </c>
      <c r="R166" s="1">
        <v>2.2930000000000001</v>
      </c>
      <c r="S166" s="1">
        <v>4.8540000000000001</v>
      </c>
      <c r="T166" s="1">
        <v>4.7009999999999996</v>
      </c>
      <c r="U166" s="1">
        <v>0.50800000000000001</v>
      </c>
      <c r="V166" s="1">
        <v>0.45700000000000002</v>
      </c>
    </row>
    <row r="167" spans="1:26" x14ac:dyDescent="0.35">
      <c r="A167" s="1" t="s">
        <v>348</v>
      </c>
      <c r="B167" s="12">
        <v>45741</v>
      </c>
      <c r="C167" s="6">
        <f t="shared" si="2"/>
        <v>1</v>
      </c>
      <c r="D167" s="1">
        <v>2</v>
      </c>
      <c r="E167" s="7">
        <v>0.45833333333333298</v>
      </c>
      <c r="H167" s="1" t="s">
        <v>25</v>
      </c>
      <c r="I167" s="1" t="s">
        <v>26</v>
      </c>
      <c r="J167" s="1">
        <v>1</v>
      </c>
      <c r="K167" s="1">
        <v>103</v>
      </c>
      <c r="L167" s="1" t="s">
        <v>38</v>
      </c>
      <c r="M167" s="1">
        <v>10</v>
      </c>
      <c r="N167" s="1">
        <v>0</v>
      </c>
      <c r="Q167" s="1" t="s">
        <v>349</v>
      </c>
      <c r="R167" s="1">
        <v>1.4</v>
      </c>
      <c r="S167" s="1">
        <v>3.6520000000000001</v>
      </c>
      <c r="T167" s="1">
        <v>3.629</v>
      </c>
      <c r="U167" s="1">
        <v>0.39700000000000002</v>
      </c>
      <c r="V167" s="1" t="s">
        <v>26</v>
      </c>
    </row>
    <row r="168" spans="1:26" x14ac:dyDescent="0.35">
      <c r="A168" s="1" t="s">
        <v>350</v>
      </c>
      <c r="B168" s="12">
        <v>45741</v>
      </c>
      <c r="C168" s="6">
        <f t="shared" si="2"/>
        <v>1</v>
      </c>
      <c r="D168" s="1">
        <v>2</v>
      </c>
      <c r="E168" s="7">
        <v>0.5</v>
      </c>
      <c r="H168" s="1" t="s">
        <v>32</v>
      </c>
      <c r="I168" s="1" t="s">
        <v>33</v>
      </c>
      <c r="J168" s="1">
        <v>1</v>
      </c>
      <c r="K168" s="1">
        <v>103</v>
      </c>
      <c r="L168" s="1" t="s">
        <v>38</v>
      </c>
      <c r="M168" s="1">
        <v>10</v>
      </c>
      <c r="N168" s="1">
        <v>0</v>
      </c>
      <c r="Q168" s="1">
        <v>6733</v>
      </c>
      <c r="R168" s="1">
        <v>0.56999999999999995</v>
      </c>
      <c r="S168" s="1">
        <v>2.0409999999999999</v>
      </c>
      <c r="T168" s="1">
        <v>1.996</v>
      </c>
      <c r="U168" s="1">
        <v>0.19700000000000001</v>
      </c>
      <c r="V168" s="1">
        <v>0.11799999999999999</v>
      </c>
    </row>
    <row r="169" spans="1:26" x14ac:dyDescent="0.35">
      <c r="A169" s="1" t="s">
        <v>351</v>
      </c>
      <c r="B169" s="12">
        <v>45741</v>
      </c>
      <c r="C169" s="6">
        <f t="shared" si="2"/>
        <v>1</v>
      </c>
      <c r="D169" s="1">
        <v>2</v>
      </c>
      <c r="E169" s="7">
        <v>0.5</v>
      </c>
      <c r="H169" s="1" t="s">
        <v>25</v>
      </c>
      <c r="I169" s="1" t="s">
        <v>26</v>
      </c>
      <c r="J169" s="1">
        <v>1</v>
      </c>
      <c r="K169" s="1">
        <v>104</v>
      </c>
      <c r="L169" s="1" t="s">
        <v>38</v>
      </c>
      <c r="M169" s="1">
        <v>11</v>
      </c>
      <c r="N169" s="1">
        <v>0</v>
      </c>
      <c r="Q169" s="1" t="s">
        <v>352</v>
      </c>
      <c r="R169" s="1">
        <v>1.738</v>
      </c>
      <c r="S169" s="1">
        <v>4.47</v>
      </c>
      <c r="T169" s="1">
        <v>4.335</v>
      </c>
      <c r="U169" s="1">
        <v>0.437</v>
      </c>
      <c r="V169" s="1" t="s">
        <v>26</v>
      </c>
    </row>
    <row r="170" spans="1:26" x14ac:dyDescent="0.35">
      <c r="A170" s="1" t="s">
        <v>353</v>
      </c>
      <c r="B170" s="12">
        <v>45741</v>
      </c>
      <c r="C170" s="6">
        <f t="shared" si="2"/>
        <v>1</v>
      </c>
      <c r="D170" s="1">
        <v>2</v>
      </c>
      <c r="E170" s="7">
        <v>0.5</v>
      </c>
      <c r="H170" s="1" t="s">
        <v>32</v>
      </c>
      <c r="I170" s="1" t="s">
        <v>33</v>
      </c>
      <c r="J170" s="1">
        <v>1</v>
      </c>
      <c r="K170" s="1">
        <v>104</v>
      </c>
      <c r="L170" s="1" t="s">
        <v>38</v>
      </c>
      <c r="M170" s="1">
        <v>11</v>
      </c>
      <c r="N170" s="1">
        <v>0</v>
      </c>
      <c r="Q170" s="1">
        <v>6735</v>
      </c>
      <c r="R170" s="1">
        <v>0.65</v>
      </c>
      <c r="S170" s="1">
        <v>1.9670000000000001</v>
      </c>
      <c r="T170" s="1" t="s">
        <v>26</v>
      </c>
      <c r="U170" s="1">
        <v>0.161</v>
      </c>
      <c r="V170" s="1">
        <v>0.123</v>
      </c>
    </row>
    <row r="171" spans="1:26" x14ac:dyDescent="0.35">
      <c r="A171" s="1" t="s">
        <v>354</v>
      </c>
      <c r="B171" s="12">
        <v>45741</v>
      </c>
      <c r="C171" s="6">
        <f t="shared" si="2"/>
        <v>1</v>
      </c>
      <c r="D171" s="1">
        <v>2</v>
      </c>
      <c r="E171" s="7">
        <v>0.5</v>
      </c>
      <c r="H171" s="1" t="s">
        <v>25</v>
      </c>
      <c r="I171" s="1" t="s">
        <v>26</v>
      </c>
      <c r="J171" s="1">
        <v>1</v>
      </c>
      <c r="K171" s="1">
        <v>105</v>
      </c>
      <c r="L171" s="1" t="s">
        <v>38</v>
      </c>
      <c r="M171" s="1">
        <v>11</v>
      </c>
      <c r="N171" s="1">
        <v>0</v>
      </c>
      <c r="Q171" s="1">
        <v>6573</v>
      </c>
      <c r="R171" s="1">
        <v>1.4610000000000001</v>
      </c>
      <c r="S171" s="1">
        <v>2.9660000000000002</v>
      </c>
      <c r="T171" s="1">
        <v>2.9340000000000002</v>
      </c>
      <c r="U171" s="1">
        <v>0.308</v>
      </c>
      <c r="V171" s="1">
        <v>0.253</v>
      </c>
    </row>
    <row r="172" spans="1:26" x14ac:dyDescent="0.35">
      <c r="A172" s="1" t="s">
        <v>355</v>
      </c>
      <c r="B172" s="12">
        <v>45741</v>
      </c>
      <c r="C172" s="6">
        <f t="shared" si="2"/>
        <v>1</v>
      </c>
      <c r="D172" s="1">
        <v>2</v>
      </c>
      <c r="E172" s="7">
        <v>0.5</v>
      </c>
      <c r="H172" s="1" t="s">
        <v>32</v>
      </c>
      <c r="I172" s="1" t="s">
        <v>247</v>
      </c>
      <c r="J172" s="1">
        <v>1</v>
      </c>
      <c r="K172" s="1">
        <v>106</v>
      </c>
      <c r="L172" s="1" t="s">
        <v>38</v>
      </c>
      <c r="M172" s="1">
        <v>11</v>
      </c>
      <c r="N172" s="1">
        <v>0</v>
      </c>
      <c r="Q172" s="1">
        <v>6736</v>
      </c>
      <c r="R172" s="1">
        <v>0.433</v>
      </c>
      <c r="S172" s="1">
        <v>1.3120000000000001</v>
      </c>
      <c r="T172" s="1">
        <v>1.399</v>
      </c>
      <c r="U172" s="1">
        <v>0.128</v>
      </c>
      <c r="V172" s="1">
        <v>9.6000000000000002E-2</v>
      </c>
    </row>
    <row r="173" spans="1:26" x14ac:dyDescent="0.35">
      <c r="A173" s="1" t="s">
        <v>356</v>
      </c>
      <c r="B173" s="12">
        <v>45741</v>
      </c>
      <c r="C173" s="6">
        <f t="shared" si="2"/>
        <v>1</v>
      </c>
      <c r="D173" s="1">
        <v>2</v>
      </c>
      <c r="E173" s="7">
        <v>0.5</v>
      </c>
      <c r="H173" s="1" t="s">
        <v>25</v>
      </c>
      <c r="I173" s="1" t="s">
        <v>26</v>
      </c>
      <c r="J173" s="1">
        <v>1</v>
      </c>
      <c r="K173" s="1">
        <v>106</v>
      </c>
      <c r="L173" s="1" t="s">
        <v>38</v>
      </c>
      <c r="M173" s="1">
        <v>11</v>
      </c>
      <c r="N173" s="1">
        <v>0</v>
      </c>
      <c r="Q173" s="1" t="s">
        <v>357</v>
      </c>
      <c r="R173" s="1">
        <v>2.1720000000000002</v>
      </c>
      <c r="S173" s="1">
        <v>4.47</v>
      </c>
      <c r="T173" s="1" t="s">
        <v>26</v>
      </c>
      <c r="U173" s="1">
        <v>0.51600000000000001</v>
      </c>
      <c r="V173" s="1">
        <v>0.52700000000000002</v>
      </c>
    </row>
    <row r="174" spans="1:26" x14ac:dyDescent="0.35">
      <c r="A174" s="1" t="s">
        <v>358</v>
      </c>
      <c r="B174" s="12">
        <v>45741</v>
      </c>
      <c r="C174" s="6">
        <f t="shared" si="2"/>
        <v>1</v>
      </c>
      <c r="D174" s="1">
        <v>2</v>
      </c>
      <c r="E174" s="7">
        <v>0.5</v>
      </c>
      <c r="H174" s="1" t="s">
        <v>32</v>
      </c>
      <c r="I174" s="1" t="s">
        <v>33</v>
      </c>
      <c r="J174" s="1">
        <v>1</v>
      </c>
      <c r="K174" s="1">
        <v>107</v>
      </c>
      <c r="L174" s="1" t="s">
        <v>38</v>
      </c>
      <c r="M174" s="1">
        <v>11</v>
      </c>
      <c r="N174" s="1">
        <v>0</v>
      </c>
      <c r="Q174" s="1">
        <v>6737</v>
      </c>
      <c r="R174" s="1">
        <v>0.56899999999999995</v>
      </c>
      <c r="S174" s="1" t="s">
        <v>26</v>
      </c>
      <c r="T174" s="1">
        <v>1.7969999999999999</v>
      </c>
      <c r="U174" s="1">
        <v>0.16400000000000001</v>
      </c>
      <c r="V174" s="1">
        <v>0.109</v>
      </c>
    </row>
    <row r="175" spans="1:26" x14ac:dyDescent="0.35">
      <c r="A175" s="1" t="s">
        <v>359</v>
      </c>
      <c r="B175" s="12">
        <v>45741</v>
      </c>
      <c r="C175" s="6">
        <f t="shared" si="2"/>
        <v>1</v>
      </c>
      <c r="D175" s="1">
        <v>2</v>
      </c>
      <c r="E175" s="7">
        <v>0.5</v>
      </c>
      <c r="H175" s="1" t="s">
        <v>25</v>
      </c>
      <c r="I175" s="1" t="s">
        <v>26</v>
      </c>
      <c r="J175" s="1">
        <v>1</v>
      </c>
      <c r="K175" s="1">
        <v>107</v>
      </c>
      <c r="L175" s="1" t="s">
        <v>38</v>
      </c>
      <c r="M175" s="1">
        <v>11</v>
      </c>
      <c r="N175" s="1">
        <v>0</v>
      </c>
      <c r="Q175" s="1" t="s">
        <v>360</v>
      </c>
      <c r="R175" s="1">
        <v>1.9059999999999999</v>
      </c>
      <c r="S175" s="1">
        <v>4.1230000000000002</v>
      </c>
      <c r="T175" s="1">
        <v>4.0439999999999996</v>
      </c>
      <c r="U175" s="1">
        <v>0.45500000000000002</v>
      </c>
      <c r="V175" s="1">
        <v>0.36799999999999999</v>
      </c>
    </row>
    <row r="176" spans="1:26" x14ac:dyDescent="0.35">
      <c r="A176" s="1" t="s">
        <v>361</v>
      </c>
      <c r="B176" s="12">
        <v>45755</v>
      </c>
      <c r="C176" s="6">
        <f t="shared" si="2"/>
        <v>2</v>
      </c>
      <c r="D176" s="1">
        <v>2</v>
      </c>
      <c r="E176" s="7">
        <v>0.4375</v>
      </c>
      <c r="H176" s="1" t="s">
        <v>25</v>
      </c>
      <c r="I176" s="1" t="s">
        <v>26</v>
      </c>
      <c r="J176" s="1">
        <v>1</v>
      </c>
      <c r="K176" s="1">
        <v>108</v>
      </c>
      <c r="L176" s="1" t="s">
        <v>27</v>
      </c>
      <c r="M176" s="1" t="s">
        <v>26</v>
      </c>
      <c r="N176" s="1">
        <v>0</v>
      </c>
      <c r="Q176" s="1" t="s">
        <v>362</v>
      </c>
      <c r="R176" s="1">
        <v>2.37</v>
      </c>
      <c r="S176" s="1">
        <v>4.4029999999999996</v>
      </c>
      <c r="T176" s="1">
        <v>4.4550000000000001</v>
      </c>
      <c r="U176" s="1">
        <v>0.40400000000000003</v>
      </c>
      <c r="V176" s="1">
        <v>0.45800000000000002</v>
      </c>
    </row>
    <row r="177" spans="1:23" x14ac:dyDescent="0.35">
      <c r="A177" s="1" t="s">
        <v>363</v>
      </c>
      <c r="B177" s="12">
        <v>45755</v>
      </c>
      <c r="C177" s="6">
        <f t="shared" si="2"/>
        <v>2</v>
      </c>
      <c r="D177" s="1">
        <v>2</v>
      </c>
      <c r="E177" s="7">
        <v>0.4375</v>
      </c>
      <c r="H177" s="1" t="s">
        <v>25</v>
      </c>
      <c r="I177" s="1" t="s">
        <v>26</v>
      </c>
      <c r="J177" s="1">
        <v>1</v>
      </c>
      <c r="K177" s="1">
        <v>109</v>
      </c>
      <c r="L177" s="1" t="s">
        <v>27</v>
      </c>
      <c r="M177" s="1" t="s">
        <v>26</v>
      </c>
      <c r="N177" s="1">
        <v>0</v>
      </c>
      <c r="Q177" s="1" t="s">
        <v>364</v>
      </c>
      <c r="R177" s="1">
        <v>2.2050000000000001</v>
      </c>
      <c r="S177" s="1">
        <v>4.7569999999999997</v>
      </c>
      <c r="T177" s="1">
        <v>4.6779999999999999</v>
      </c>
      <c r="U177" s="1">
        <v>0.44700000000000001</v>
      </c>
      <c r="V177" s="1">
        <v>0.379</v>
      </c>
    </row>
    <row r="178" spans="1:23" x14ac:dyDescent="0.35">
      <c r="A178" s="1" t="s">
        <v>365</v>
      </c>
      <c r="B178" s="12">
        <v>45755</v>
      </c>
      <c r="C178" s="6">
        <f t="shared" si="2"/>
        <v>2</v>
      </c>
      <c r="D178" s="1">
        <v>2</v>
      </c>
      <c r="E178" s="7">
        <v>0.4375</v>
      </c>
      <c r="H178" s="1" t="s">
        <v>32</v>
      </c>
      <c r="I178" s="1" t="s">
        <v>33</v>
      </c>
      <c r="J178" s="1">
        <v>1</v>
      </c>
      <c r="K178" s="1">
        <v>109</v>
      </c>
      <c r="L178" s="1" t="s">
        <v>27</v>
      </c>
      <c r="M178" s="1" t="s">
        <v>26</v>
      </c>
      <c r="N178" s="1">
        <v>0</v>
      </c>
      <c r="Q178" s="1">
        <v>6738</v>
      </c>
      <c r="R178" s="1">
        <v>0.61599999999999999</v>
      </c>
      <c r="S178" s="1">
        <v>2.1800000000000002</v>
      </c>
      <c r="T178" s="1">
        <v>2.2639999999999998</v>
      </c>
      <c r="U178" s="1">
        <v>0.24099999999999999</v>
      </c>
      <c r="V178" s="1">
        <v>0.11799999999999999</v>
      </c>
    </row>
    <row r="179" spans="1:23" x14ac:dyDescent="0.35">
      <c r="A179" s="1" t="s">
        <v>366</v>
      </c>
      <c r="B179" s="12">
        <v>45755</v>
      </c>
      <c r="C179" s="6">
        <f t="shared" si="2"/>
        <v>2</v>
      </c>
      <c r="D179" s="1">
        <v>2</v>
      </c>
      <c r="E179" s="7">
        <v>0.4375</v>
      </c>
      <c r="H179" s="1" t="s">
        <v>25</v>
      </c>
      <c r="I179" s="1" t="s">
        <v>26</v>
      </c>
      <c r="J179" s="1">
        <v>1</v>
      </c>
      <c r="K179" s="1">
        <v>110</v>
      </c>
      <c r="L179" s="1" t="s">
        <v>27</v>
      </c>
      <c r="M179" s="1" t="s">
        <v>26</v>
      </c>
      <c r="N179" s="1">
        <v>0</v>
      </c>
      <c r="Q179" s="1" t="s">
        <v>367</v>
      </c>
      <c r="R179" s="1">
        <v>2.319</v>
      </c>
      <c r="S179" s="1" t="s">
        <v>26</v>
      </c>
      <c r="T179" s="1">
        <v>4.1109999999999998</v>
      </c>
      <c r="U179" s="1">
        <v>0.34699999999999998</v>
      </c>
      <c r="V179" s="1">
        <v>0.52300000000000002</v>
      </c>
      <c r="W179" s="1" t="s">
        <v>368</v>
      </c>
    </row>
    <row r="180" spans="1:23" x14ac:dyDescent="0.35">
      <c r="A180" s="1" t="s">
        <v>369</v>
      </c>
      <c r="B180" s="12">
        <v>45755</v>
      </c>
      <c r="C180" s="6">
        <f t="shared" si="2"/>
        <v>2</v>
      </c>
      <c r="D180" s="1">
        <v>2</v>
      </c>
      <c r="E180" s="7">
        <v>0.4375</v>
      </c>
      <c r="H180" s="1" t="s">
        <v>25</v>
      </c>
      <c r="I180" s="1" t="s">
        <v>26</v>
      </c>
      <c r="J180" s="1">
        <v>1</v>
      </c>
      <c r="K180" s="1">
        <v>111</v>
      </c>
      <c r="L180" s="1" t="s">
        <v>27</v>
      </c>
      <c r="M180" s="1" t="s">
        <v>26</v>
      </c>
      <c r="N180" s="1">
        <v>0</v>
      </c>
      <c r="Q180" s="1" t="s">
        <v>370</v>
      </c>
      <c r="R180" s="1">
        <v>2.09</v>
      </c>
      <c r="S180" s="1">
        <v>4.8150000000000004</v>
      </c>
      <c r="T180" s="1">
        <v>4.875</v>
      </c>
      <c r="U180" s="1">
        <v>0.49099999999999999</v>
      </c>
      <c r="V180" s="1">
        <v>0.621</v>
      </c>
      <c r="W180" s="1" t="s">
        <v>371</v>
      </c>
    </row>
    <row r="181" spans="1:23" x14ac:dyDescent="0.35">
      <c r="A181" s="1" t="s">
        <v>372</v>
      </c>
      <c r="B181" s="12">
        <v>45755</v>
      </c>
      <c r="C181" s="6">
        <f t="shared" si="2"/>
        <v>2</v>
      </c>
      <c r="D181" s="1">
        <v>2</v>
      </c>
      <c r="E181" s="7">
        <v>0.4375</v>
      </c>
      <c r="H181" s="1" t="s">
        <v>32</v>
      </c>
      <c r="I181" s="1" t="s">
        <v>33</v>
      </c>
      <c r="J181" s="1">
        <v>1</v>
      </c>
      <c r="K181" s="1">
        <v>111</v>
      </c>
      <c r="L181" s="1" t="s">
        <v>27</v>
      </c>
      <c r="M181" s="1" t="s">
        <v>26</v>
      </c>
      <c r="N181" s="1">
        <v>0</v>
      </c>
      <c r="Q181" s="1">
        <v>6739</v>
      </c>
      <c r="R181" s="1">
        <v>0.57199999999999995</v>
      </c>
      <c r="S181" s="1">
        <v>2.0739999999999998</v>
      </c>
      <c r="T181" s="1">
        <v>2.113</v>
      </c>
      <c r="U181" s="1">
        <v>0.21099999999999999</v>
      </c>
      <c r="V181" s="1">
        <v>0.112</v>
      </c>
    </row>
    <row r="182" spans="1:23" x14ac:dyDescent="0.35">
      <c r="A182" s="1" t="s">
        <v>373</v>
      </c>
      <c r="B182" s="12">
        <v>45755</v>
      </c>
      <c r="C182" s="6">
        <f t="shared" si="2"/>
        <v>2</v>
      </c>
      <c r="D182" s="1">
        <v>2</v>
      </c>
      <c r="E182" s="7">
        <v>0.4375</v>
      </c>
      <c r="H182" s="1" t="s">
        <v>25</v>
      </c>
      <c r="I182" s="1" t="s">
        <v>26</v>
      </c>
      <c r="J182" s="1">
        <v>1</v>
      </c>
      <c r="K182" s="1">
        <v>112</v>
      </c>
      <c r="L182" s="1" t="s">
        <v>27</v>
      </c>
      <c r="M182" s="1" t="s">
        <v>26</v>
      </c>
      <c r="N182" s="1">
        <v>0</v>
      </c>
      <c r="Q182" s="1" t="s">
        <v>374</v>
      </c>
      <c r="R182" s="1">
        <v>2.6739999999999999</v>
      </c>
      <c r="S182" s="1">
        <v>4.8520000000000003</v>
      </c>
      <c r="T182" s="1">
        <v>4.8620000000000001</v>
      </c>
      <c r="U182" s="1">
        <v>0.54400000000000004</v>
      </c>
      <c r="V182" s="1">
        <v>0.64700000000000002</v>
      </c>
      <c r="W182" s="1" t="s">
        <v>375</v>
      </c>
    </row>
    <row r="183" spans="1:23" x14ac:dyDescent="0.35">
      <c r="A183" s="1" t="s">
        <v>376</v>
      </c>
      <c r="B183" s="12">
        <v>45755</v>
      </c>
      <c r="C183" s="6">
        <f t="shared" si="2"/>
        <v>2</v>
      </c>
      <c r="D183" s="1">
        <v>2</v>
      </c>
      <c r="E183" s="7">
        <v>0.4375</v>
      </c>
      <c r="H183" s="1" t="s">
        <v>25</v>
      </c>
      <c r="I183" s="1" t="s">
        <v>26</v>
      </c>
      <c r="J183" s="1">
        <v>4</v>
      </c>
      <c r="K183" s="1">
        <v>113</v>
      </c>
      <c r="L183" s="1" t="s">
        <v>27</v>
      </c>
      <c r="M183" s="1" t="s">
        <v>26</v>
      </c>
      <c r="N183" s="1">
        <v>0</v>
      </c>
      <c r="Q183" s="1" t="s">
        <v>377</v>
      </c>
      <c r="R183" s="1">
        <v>2.0139999999999998</v>
      </c>
      <c r="S183" s="1">
        <v>4.4480000000000004</v>
      </c>
      <c r="T183" s="1" t="s">
        <v>26</v>
      </c>
      <c r="U183" s="1">
        <v>0.46500000000000002</v>
      </c>
      <c r="V183" s="1">
        <v>0.5</v>
      </c>
    </row>
    <row r="184" spans="1:23" x14ac:dyDescent="0.35">
      <c r="A184" s="1" t="s">
        <v>378</v>
      </c>
      <c r="B184" s="12">
        <v>45755</v>
      </c>
      <c r="C184" s="6">
        <f t="shared" si="2"/>
        <v>2</v>
      </c>
      <c r="D184" s="1">
        <v>2</v>
      </c>
      <c r="E184" s="7">
        <v>0.4375</v>
      </c>
      <c r="H184" s="1" t="s">
        <v>32</v>
      </c>
      <c r="I184" s="1" t="s">
        <v>33</v>
      </c>
      <c r="J184" s="1">
        <v>4</v>
      </c>
      <c r="K184" s="1">
        <v>113</v>
      </c>
      <c r="L184" s="1" t="s">
        <v>27</v>
      </c>
      <c r="M184" s="1" t="s">
        <v>26</v>
      </c>
      <c r="N184" s="1">
        <v>0</v>
      </c>
      <c r="Q184" s="1">
        <v>6740</v>
      </c>
      <c r="R184" s="1">
        <v>0.67500000000000004</v>
      </c>
      <c r="S184" s="1" t="s">
        <v>26</v>
      </c>
      <c r="T184" s="1" t="s">
        <v>26</v>
      </c>
      <c r="U184" s="1">
        <v>0.19700000000000001</v>
      </c>
      <c r="V184" s="1">
        <v>0.13900000000000001</v>
      </c>
    </row>
    <row r="185" spans="1:23" x14ac:dyDescent="0.35">
      <c r="A185" s="1" t="s">
        <v>379</v>
      </c>
      <c r="B185" s="12">
        <v>45755</v>
      </c>
      <c r="C185" s="6">
        <f t="shared" si="2"/>
        <v>2</v>
      </c>
      <c r="D185" s="1">
        <v>2</v>
      </c>
      <c r="E185" s="7">
        <v>0.4375</v>
      </c>
      <c r="H185" s="1" t="s">
        <v>25</v>
      </c>
      <c r="I185" s="1" t="s">
        <v>26</v>
      </c>
      <c r="J185" s="1">
        <v>4</v>
      </c>
      <c r="K185" s="1">
        <v>114</v>
      </c>
      <c r="L185" s="1" t="s">
        <v>27</v>
      </c>
      <c r="M185" s="1" t="s">
        <v>26</v>
      </c>
      <c r="N185" s="1">
        <v>0</v>
      </c>
      <c r="Q185" s="1" t="s">
        <v>380</v>
      </c>
      <c r="R185" s="1">
        <v>2.5059999999999998</v>
      </c>
      <c r="S185" s="1">
        <v>4.9939999999999998</v>
      </c>
      <c r="T185" s="1">
        <v>4.9729999999999999</v>
      </c>
      <c r="U185" s="1">
        <v>0.52500000000000002</v>
      </c>
      <c r="V185" s="1">
        <v>0.68500000000000005</v>
      </c>
    </row>
    <row r="186" spans="1:23" x14ac:dyDescent="0.35">
      <c r="A186" s="1" t="s">
        <v>381</v>
      </c>
      <c r="B186" s="12">
        <v>45755</v>
      </c>
      <c r="C186" s="6">
        <f t="shared" si="2"/>
        <v>2</v>
      </c>
      <c r="D186" s="1">
        <v>2</v>
      </c>
      <c r="E186" s="7">
        <v>0.4375</v>
      </c>
      <c r="H186" s="1" t="s">
        <v>32</v>
      </c>
      <c r="I186" s="1" t="s">
        <v>33</v>
      </c>
      <c r="J186" s="1">
        <v>4</v>
      </c>
      <c r="K186" s="1">
        <v>114</v>
      </c>
      <c r="L186" s="1" t="s">
        <v>27</v>
      </c>
      <c r="M186" s="1" t="s">
        <v>26</v>
      </c>
      <c r="N186" s="1">
        <v>0</v>
      </c>
      <c r="Q186" s="1">
        <v>6741</v>
      </c>
      <c r="R186" s="1">
        <v>0.78900000000000003</v>
      </c>
      <c r="S186" s="1">
        <v>3.03</v>
      </c>
      <c r="T186" s="1">
        <v>3.0529999999999999</v>
      </c>
      <c r="U186" s="1">
        <v>0.26800000000000002</v>
      </c>
      <c r="V186" s="1">
        <v>0.128</v>
      </c>
    </row>
    <row r="187" spans="1:23" x14ac:dyDescent="0.35">
      <c r="A187" s="1" t="s">
        <v>382</v>
      </c>
      <c r="B187" s="12">
        <v>45755</v>
      </c>
      <c r="C187" s="6">
        <f t="shared" si="2"/>
        <v>2</v>
      </c>
      <c r="D187" s="1">
        <v>2</v>
      </c>
      <c r="E187" s="7">
        <v>0.4375</v>
      </c>
      <c r="H187" s="1" t="s">
        <v>25</v>
      </c>
      <c r="I187" s="1" t="s">
        <v>26</v>
      </c>
      <c r="J187" s="1">
        <v>4</v>
      </c>
      <c r="K187" s="1">
        <v>115</v>
      </c>
      <c r="L187" s="1" t="s">
        <v>27</v>
      </c>
      <c r="M187" s="1" t="s">
        <v>26</v>
      </c>
      <c r="N187" s="1">
        <v>0</v>
      </c>
      <c r="Q187" s="1" t="s">
        <v>383</v>
      </c>
      <c r="R187" s="1">
        <v>2.335</v>
      </c>
      <c r="S187" s="1">
        <v>5.77</v>
      </c>
      <c r="T187" s="1">
        <v>5.7569999999999997</v>
      </c>
      <c r="U187" s="1">
        <v>0.55900000000000005</v>
      </c>
      <c r="V187" s="1">
        <v>0.66900000000000004</v>
      </c>
    </row>
    <row r="188" spans="1:23" x14ac:dyDescent="0.35">
      <c r="A188" s="1" t="s">
        <v>384</v>
      </c>
      <c r="B188" s="12">
        <v>45755</v>
      </c>
      <c r="C188" s="6">
        <f t="shared" si="2"/>
        <v>2</v>
      </c>
      <c r="D188" s="1">
        <v>2</v>
      </c>
      <c r="E188" s="7">
        <v>0.4375</v>
      </c>
      <c r="H188" s="1" t="s">
        <v>32</v>
      </c>
      <c r="I188" s="1" t="s">
        <v>33</v>
      </c>
      <c r="J188" s="1">
        <v>4</v>
      </c>
      <c r="K188" s="1">
        <v>115</v>
      </c>
      <c r="L188" s="1" t="s">
        <v>27</v>
      </c>
      <c r="M188" s="1" t="s">
        <v>26</v>
      </c>
      <c r="N188" s="1">
        <v>0</v>
      </c>
      <c r="Q188" s="1">
        <v>6742</v>
      </c>
      <c r="R188" s="1">
        <v>0.63500000000000001</v>
      </c>
      <c r="S188" s="1">
        <v>2.3170000000000002</v>
      </c>
      <c r="T188" s="1">
        <v>2.3079999999999998</v>
      </c>
      <c r="U188" s="1">
        <v>0.22600000000000001</v>
      </c>
      <c r="V188" s="1">
        <v>0.14699999999999999</v>
      </c>
    </row>
    <row r="189" spans="1:23" x14ac:dyDescent="0.35">
      <c r="A189" s="1" t="s">
        <v>385</v>
      </c>
      <c r="B189" s="12">
        <v>45755</v>
      </c>
      <c r="C189" s="6">
        <f t="shared" si="2"/>
        <v>2</v>
      </c>
      <c r="D189" s="1">
        <v>2</v>
      </c>
      <c r="E189" s="7">
        <v>0.4375</v>
      </c>
      <c r="H189" s="1" t="s">
        <v>25</v>
      </c>
      <c r="I189" s="1" t="s">
        <v>26</v>
      </c>
      <c r="J189" s="1">
        <v>4</v>
      </c>
      <c r="K189" s="1">
        <v>116</v>
      </c>
      <c r="L189" s="1" t="s">
        <v>27</v>
      </c>
      <c r="M189" s="1" t="s">
        <v>26</v>
      </c>
      <c r="N189" s="1">
        <v>0</v>
      </c>
      <c r="Q189" s="1" t="s">
        <v>386</v>
      </c>
      <c r="R189" s="1">
        <v>2.2200000000000002</v>
      </c>
      <c r="S189" s="1">
        <v>5.2960000000000003</v>
      </c>
      <c r="T189" s="1">
        <v>5.181</v>
      </c>
      <c r="U189" s="1">
        <v>0.58899999999999997</v>
      </c>
      <c r="V189" s="1" t="s">
        <v>26</v>
      </c>
    </row>
    <row r="190" spans="1:23" x14ac:dyDescent="0.35">
      <c r="A190" s="2" t="s">
        <v>387</v>
      </c>
      <c r="B190" s="17">
        <v>45755</v>
      </c>
      <c r="C190" s="6">
        <f t="shared" si="2"/>
        <v>2</v>
      </c>
      <c r="D190" s="2">
        <v>2</v>
      </c>
      <c r="E190" s="11">
        <v>0.4375</v>
      </c>
      <c r="F190" s="2"/>
      <c r="G190" s="2"/>
      <c r="H190" s="2" t="s">
        <v>32</v>
      </c>
      <c r="I190" s="2" t="s">
        <v>33</v>
      </c>
      <c r="J190" s="2">
        <v>4</v>
      </c>
      <c r="K190" s="2">
        <v>116</v>
      </c>
      <c r="L190" s="2" t="s">
        <v>27</v>
      </c>
      <c r="M190" s="2" t="s">
        <v>26</v>
      </c>
      <c r="N190" s="2">
        <v>0</v>
      </c>
      <c r="O190" s="2"/>
      <c r="Q190" s="2">
        <v>6743</v>
      </c>
      <c r="R190" s="2">
        <v>0.69299999999999995</v>
      </c>
      <c r="S190" s="2" t="s">
        <v>26</v>
      </c>
      <c r="T190" s="2">
        <v>2.2330000000000001</v>
      </c>
      <c r="U190" s="2">
        <v>0.17299999999999999</v>
      </c>
      <c r="V190" s="1">
        <v>0.129</v>
      </c>
      <c r="W190" s="1" t="s">
        <v>388</v>
      </c>
    </row>
    <row r="191" spans="1:23" x14ac:dyDescent="0.35">
      <c r="A191" s="2" t="s">
        <v>389</v>
      </c>
      <c r="B191" s="17">
        <v>45755</v>
      </c>
      <c r="C191" s="6">
        <f t="shared" si="2"/>
        <v>2</v>
      </c>
      <c r="D191" s="2">
        <v>2</v>
      </c>
      <c r="E191" s="11">
        <v>0.4375</v>
      </c>
      <c r="F191" s="2"/>
      <c r="G191" s="2"/>
      <c r="H191" s="2" t="s">
        <v>32</v>
      </c>
      <c r="I191" s="2" t="s">
        <v>247</v>
      </c>
      <c r="J191" s="2">
        <v>4</v>
      </c>
      <c r="K191" s="2">
        <v>116</v>
      </c>
      <c r="L191" s="2" t="s">
        <v>27</v>
      </c>
      <c r="M191" s="2" t="s">
        <v>26</v>
      </c>
      <c r="N191" s="2">
        <v>0</v>
      </c>
      <c r="O191" s="2"/>
      <c r="Q191" s="2">
        <v>6744</v>
      </c>
      <c r="R191" s="2">
        <v>0.72599999999999998</v>
      </c>
      <c r="S191" s="2">
        <v>2.3929999999999998</v>
      </c>
      <c r="T191" s="2">
        <v>2.3650000000000002</v>
      </c>
      <c r="U191" s="2">
        <v>0.218</v>
      </c>
      <c r="V191" s="1">
        <v>0.113</v>
      </c>
    </row>
    <row r="192" spans="1:23" x14ac:dyDescent="0.35">
      <c r="A192" s="1" t="s">
        <v>390</v>
      </c>
      <c r="B192" s="5">
        <v>45756</v>
      </c>
      <c r="C192" s="6">
        <f t="shared" si="2"/>
        <v>2</v>
      </c>
      <c r="D192" s="1">
        <v>2</v>
      </c>
      <c r="E192" s="7">
        <v>0.3923611111111111</v>
      </c>
      <c r="H192" s="1" t="s">
        <v>25</v>
      </c>
      <c r="I192" s="1" t="s">
        <v>26</v>
      </c>
      <c r="J192" s="1">
        <v>1</v>
      </c>
      <c r="K192" s="1">
        <v>117</v>
      </c>
      <c r="L192" s="1" t="s">
        <v>27</v>
      </c>
      <c r="M192" s="1" t="s">
        <v>26</v>
      </c>
      <c r="N192" s="1">
        <v>0</v>
      </c>
      <c r="Q192" s="1" t="s">
        <v>391</v>
      </c>
      <c r="R192" s="1">
        <v>2.2959999999999998</v>
      </c>
      <c r="S192" s="1">
        <v>4.681</v>
      </c>
      <c r="T192" s="1">
        <v>4.681</v>
      </c>
      <c r="U192" s="1">
        <v>0.51700000000000002</v>
      </c>
      <c r="V192" s="1">
        <v>0.47</v>
      </c>
    </row>
    <row r="193" spans="1:22" x14ac:dyDescent="0.35">
      <c r="A193" s="1" t="s">
        <v>392</v>
      </c>
      <c r="B193" s="5">
        <v>45756</v>
      </c>
      <c r="C193" s="6">
        <f t="shared" si="2"/>
        <v>2</v>
      </c>
      <c r="D193" s="1">
        <v>2</v>
      </c>
      <c r="E193" s="7">
        <v>0.40277777777777779</v>
      </c>
      <c r="H193" s="1" t="s">
        <v>25</v>
      </c>
      <c r="I193" s="1" t="s">
        <v>26</v>
      </c>
      <c r="J193" s="1">
        <v>4</v>
      </c>
      <c r="K193" s="1">
        <v>118</v>
      </c>
      <c r="L193" s="1" t="s">
        <v>27</v>
      </c>
      <c r="M193" s="1" t="s">
        <v>26</v>
      </c>
      <c r="N193" s="1">
        <v>0</v>
      </c>
      <c r="Q193" s="1" t="s">
        <v>393</v>
      </c>
      <c r="R193" s="1">
        <v>2.0329999999999999</v>
      </c>
      <c r="S193" s="1">
        <v>5.0179999999999998</v>
      </c>
      <c r="T193" s="1">
        <v>4.9740000000000002</v>
      </c>
      <c r="U193" s="1">
        <v>0.52100000000000002</v>
      </c>
      <c r="V193" s="1">
        <v>0.372</v>
      </c>
    </row>
    <row r="194" spans="1:22" x14ac:dyDescent="0.35">
      <c r="A194" s="1" t="s">
        <v>394</v>
      </c>
      <c r="B194" s="5">
        <v>45756</v>
      </c>
      <c r="C194" s="6">
        <f t="shared" si="2"/>
        <v>2</v>
      </c>
      <c r="D194" s="1">
        <v>2</v>
      </c>
      <c r="E194" s="7">
        <v>0.40972222222222221</v>
      </c>
      <c r="H194" s="1" t="s">
        <v>25</v>
      </c>
      <c r="I194" s="1" t="s">
        <v>26</v>
      </c>
      <c r="J194" s="1">
        <v>2</v>
      </c>
      <c r="K194" s="1">
        <v>119</v>
      </c>
      <c r="L194" s="1" t="s">
        <v>27</v>
      </c>
      <c r="M194" s="1" t="s">
        <v>26</v>
      </c>
      <c r="N194" s="1">
        <v>0</v>
      </c>
      <c r="Q194" s="1" t="s">
        <v>395</v>
      </c>
      <c r="R194" s="1">
        <v>2.4750000000000001</v>
      </c>
      <c r="S194" s="1">
        <v>4.9539999999999997</v>
      </c>
      <c r="T194" s="1">
        <v>4.9160000000000004</v>
      </c>
      <c r="U194" s="1">
        <v>0.48699999999999999</v>
      </c>
      <c r="V194" s="1">
        <v>0.621</v>
      </c>
    </row>
    <row r="195" spans="1:22" x14ac:dyDescent="0.35">
      <c r="A195" s="1" t="s">
        <v>396</v>
      </c>
      <c r="B195" s="5">
        <v>45756</v>
      </c>
      <c r="C195" s="6">
        <f t="shared" ref="C195:C237" si="3">INT((DATE(2000, MONTH(B195), DAY(B195)) - DATE(2000, 3, 12)) / 15) + 1</f>
        <v>2</v>
      </c>
      <c r="D195" s="1">
        <v>2</v>
      </c>
      <c r="E195" s="7">
        <v>0.40972222222222221</v>
      </c>
      <c r="H195" s="1" t="s">
        <v>32</v>
      </c>
      <c r="I195" s="1" t="s">
        <v>33</v>
      </c>
      <c r="J195" s="1">
        <v>2</v>
      </c>
      <c r="K195" s="1">
        <v>119</v>
      </c>
      <c r="L195" s="1" t="s">
        <v>27</v>
      </c>
      <c r="M195" s="1" t="s">
        <v>26</v>
      </c>
      <c r="N195" s="1">
        <v>0</v>
      </c>
      <c r="Q195" s="1">
        <v>6745</v>
      </c>
      <c r="R195" s="1">
        <v>0.59799999999999998</v>
      </c>
      <c r="S195" s="1">
        <v>1.99</v>
      </c>
      <c r="T195" s="1">
        <v>1.851</v>
      </c>
      <c r="U195" s="1">
        <v>0.17299999999999999</v>
      </c>
      <c r="V195" s="1">
        <v>0.125</v>
      </c>
    </row>
    <row r="196" spans="1:22" x14ac:dyDescent="0.35">
      <c r="A196" s="1" t="s">
        <v>397</v>
      </c>
      <c r="B196" s="5">
        <v>45756</v>
      </c>
      <c r="C196" s="6">
        <f t="shared" si="3"/>
        <v>2</v>
      </c>
      <c r="D196" s="1">
        <v>2</v>
      </c>
      <c r="E196" s="7">
        <v>0.40972222222222221</v>
      </c>
      <c r="H196" s="1" t="s">
        <v>25</v>
      </c>
      <c r="I196" s="1" t="s">
        <v>26</v>
      </c>
      <c r="J196" s="1">
        <v>2</v>
      </c>
      <c r="K196" s="1">
        <v>120</v>
      </c>
      <c r="L196" s="1" t="s">
        <v>27</v>
      </c>
      <c r="M196" s="1" t="s">
        <v>26</v>
      </c>
      <c r="N196" s="1">
        <v>0</v>
      </c>
      <c r="Q196" s="1" t="s">
        <v>398</v>
      </c>
      <c r="R196" s="1">
        <v>2.0840000000000001</v>
      </c>
      <c r="S196" s="1">
        <v>4.5750000000000002</v>
      </c>
      <c r="T196" s="1">
        <v>4.5659999999999998</v>
      </c>
      <c r="U196" s="1">
        <v>0.42699999999999999</v>
      </c>
      <c r="V196" s="1">
        <v>0.60599999999999998</v>
      </c>
    </row>
    <row r="197" spans="1:22" x14ac:dyDescent="0.35">
      <c r="A197" s="1" t="s">
        <v>399</v>
      </c>
      <c r="B197" s="5">
        <v>45756</v>
      </c>
      <c r="C197" s="6">
        <f t="shared" si="3"/>
        <v>2</v>
      </c>
      <c r="D197" s="1">
        <v>2</v>
      </c>
      <c r="E197" s="7">
        <v>0.40972222222222221</v>
      </c>
      <c r="H197" s="1" t="s">
        <v>32</v>
      </c>
      <c r="I197" s="1" t="s">
        <v>33</v>
      </c>
      <c r="J197" s="1">
        <v>2</v>
      </c>
      <c r="K197" s="1">
        <v>120</v>
      </c>
      <c r="L197" s="1" t="s">
        <v>27</v>
      </c>
      <c r="M197" s="1" t="s">
        <v>26</v>
      </c>
      <c r="N197" s="1">
        <v>0</v>
      </c>
      <c r="Q197" s="1">
        <v>6746</v>
      </c>
      <c r="R197" s="1">
        <v>0.76800000000000002</v>
      </c>
      <c r="S197" s="1">
        <v>2.4430000000000001</v>
      </c>
      <c r="T197" s="1">
        <v>2.4409999999999998</v>
      </c>
      <c r="U197" s="1">
        <v>0.189</v>
      </c>
      <c r="V197" s="1">
        <v>0.123</v>
      </c>
    </row>
    <row r="198" spans="1:22" x14ac:dyDescent="0.35">
      <c r="A198" s="1" t="s">
        <v>400</v>
      </c>
      <c r="B198" s="5">
        <v>45756</v>
      </c>
      <c r="C198" s="6">
        <f t="shared" si="3"/>
        <v>2</v>
      </c>
      <c r="D198" s="1">
        <v>2</v>
      </c>
      <c r="E198" s="7">
        <v>0.41666666666666669</v>
      </c>
      <c r="H198" s="1" t="s">
        <v>25</v>
      </c>
      <c r="I198" s="1" t="s">
        <v>26</v>
      </c>
      <c r="J198" s="1">
        <v>7</v>
      </c>
      <c r="K198" s="1">
        <v>121</v>
      </c>
      <c r="L198" s="1" t="s">
        <v>27</v>
      </c>
      <c r="M198" s="1" t="s">
        <v>26</v>
      </c>
      <c r="N198" s="1">
        <v>0</v>
      </c>
      <c r="Q198" s="1" t="s">
        <v>401</v>
      </c>
      <c r="R198" s="1">
        <v>2.0329999999999999</v>
      </c>
      <c r="S198" s="1">
        <v>4.6130000000000004</v>
      </c>
      <c r="T198" s="1">
        <v>4.524</v>
      </c>
      <c r="U198" s="1">
        <v>0.46</v>
      </c>
      <c r="V198" s="1">
        <v>0.45100000000000001</v>
      </c>
    </row>
    <row r="199" spans="1:22" x14ac:dyDescent="0.35">
      <c r="A199" s="1" t="s">
        <v>402</v>
      </c>
      <c r="B199" s="5">
        <v>45756</v>
      </c>
      <c r="C199" s="6">
        <f t="shared" si="3"/>
        <v>2</v>
      </c>
      <c r="D199" s="1">
        <v>2</v>
      </c>
      <c r="E199" s="7">
        <v>0.41666666666666669</v>
      </c>
      <c r="H199" s="1" t="s">
        <v>32</v>
      </c>
      <c r="I199" s="1" t="s">
        <v>33</v>
      </c>
      <c r="J199" s="1">
        <v>7</v>
      </c>
      <c r="K199" s="1">
        <v>121</v>
      </c>
      <c r="L199" s="1" t="s">
        <v>27</v>
      </c>
      <c r="M199" s="1" t="s">
        <v>26</v>
      </c>
      <c r="N199" s="1">
        <v>0</v>
      </c>
      <c r="Q199" s="1">
        <v>6747</v>
      </c>
      <c r="R199" s="1">
        <v>0.72699999999999998</v>
      </c>
      <c r="S199" s="1">
        <v>2.4969999999999999</v>
      </c>
      <c r="T199" s="1">
        <v>2.4140000000000001</v>
      </c>
      <c r="U199" s="1">
        <v>0.22500000000000001</v>
      </c>
      <c r="V199" s="1">
        <v>0.14599999999999999</v>
      </c>
    </row>
    <row r="200" spans="1:22" x14ac:dyDescent="0.35">
      <c r="A200" s="1" t="s">
        <v>403</v>
      </c>
      <c r="B200" s="5">
        <v>45756</v>
      </c>
      <c r="C200" s="6">
        <f t="shared" si="3"/>
        <v>2</v>
      </c>
      <c r="D200" s="1">
        <v>2</v>
      </c>
      <c r="E200" s="7">
        <v>0.41666666666666702</v>
      </c>
      <c r="H200" s="1" t="s">
        <v>25</v>
      </c>
      <c r="I200" s="1" t="s">
        <v>26</v>
      </c>
      <c r="J200" s="1">
        <v>7</v>
      </c>
      <c r="K200" s="1">
        <v>122</v>
      </c>
      <c r="L200" s="1" t="s">
        <v>27</v>
      </c>
      <c r="M200" s="1" t="s">
        <v>26</v>
      </c>
      <c r="N200" s="1">
        <v>0</v>
      </c>
      <c r="Q200" s="1" t="s">
        <v>404</v>
      </c>
      <c r="R200" s="1">
        <v>2.2160000000000002</v>
      </c>
      <c r="S200" s="1">
        <v>5.0540000000000003</v>
      </c>
      <c r="T200" s="1">
        <v>5.0759999999999996</v>
      </c>
      <c r="U200" s="1">
        <v>0.53500000000000003</v>
      </c>
      <c r="V200" s="1">
        <v>0.54700000000000004</v>
      </c>
    </row>
    <row r="201" spans="1:22" x14ac:dyDescent="0.35">
      <c r="A201" s="1" t="s">
        <v>405</v>
      </c>
      <c r="B201" s="5">
        <v>45756</v>
      </c>
      <c r="C201" s="6">
        <f t="shared" si="3"/>
        <v>2</v>
      </c>
      <c r="D201" s="1">
        <v>2</v>
      </c>
      <c r="E201" s="7">
        <v>0.41666666666666702</v>
      </c>
      <c r="H201" s="1" t="s">
        <v>32</v>
      </c>
      <c r="I201" s="1" t="s">
        <v>33</v>
      </c>
      <c r="J201" s="1">
        <v>7</v>
      </c>
      <c r="K201" s="1">
        <v>122</v>
      </c>
      <c r="L201" s="1" t="s">
        <v>27</v>
      </c>
      <c r="M201" s="1" t="s">
        <v>26</v>
      </c>
      <c r="N201" s="1">
        <v>0</v>
      </c>
      <c r="Q201" s="1">
        <v>6748</v>
      </c>
      <c r="R201" s="1">
        <v>0.60799999999999998</v>
      </c>
      <c r="S201" s="1">
        <v>1.857</v>
      </c>
      <c r="T201" s="1">
        <v>2.1579999999999999</v>
      </c>
      <c r="U201" s="1">
        <v>0.19800000000000001</v>
      </c>
      <c r="V201" s="1">
        <v>0.14299999999999999</v>
      </c>
    </row>
    <row r="202" spans="1:22" x14ac:dyDescent="0.35">
      <c r="A202" s="1" t="s">
        <v>406</v>
      </c>
      <c r="B202" s="5">
        <v>45756</v>
      </c>
      <c r="C202" s="6">
        <f t="shared" si="3"/>
        <v>2</v>
      </c>
      <c r="D202" s="1">
        <v>2</v>
      </c>
      <c r="E202" s="7">
        <v>0.41666666666666702</v>
      </c>
      <c r="H202" s="1" t="s">
        <v>32</v>
      </c>
      <c r="I202" s="1" t="s">
        <v>247</v>
      </c>
      <c r="J202" s="1">
        <v>7</v>
      </c>
      <c r="K202" s="1">
        <v>122</v>
      </c>
      <c r="L202" s="1" t="s">
        <v>27</v>
      </c>
      <c r="M202" s="1" t="s">
        <v>26</v>
      </c>
      <c r="N202" s="1">
        <v>0</v>
      </c>
      <c r="Q202" s="1">
        <v>6749</v>
      </c>
      <c r="R202" s="1">
        <v>0.498</v>
      </c>
      <c r="S202" s="1">
        <v>1.58</v>
      </c>
      <c r="T202" s="1">
        <v>1.5660000000000001</v>
      </c>
      <c r="U202" s="1">
        <v>0.14499999999999999</v>
      </c>
      <c r="V202" s="1">
        <v>0.10299999999999999</v>
      </c>
    </row>
    <row r="203" spans="1:22" x14ac:dyDescent="0.35">
      <c r="A203" s="1" t="s">
        <v>407</v>
      </c>
      <c r="B203" s="5">
        <v>45756</v>
      </c>
      <c r="C203" s="6">
        <f t="shared" si="3"/>
        <v>2</v>
      </c>
      <c r="D203" s="1">
        <v>2</v>
      </c>
      <c r="E203" s="7">
        <v>0.41666666666666702</v>
      </c>
      <c r="H203" s="1" t="s">
        <v>25</v>
      </c>
      <c r="I203" s="1" t="s">
        <v>26</v>
      </c>
      <c r="J203" s="1">
        <v>6</v>
      </c>
      <c r="K203" s="1">
        <v>123</v>
      </c>
      <c r="L203" s="1" t="s">
        <v>27</v>
      </c>
      <c r="M203" s="1" t="s">
        <v>26</v>
      </c>
      <c r="N203" s="1">
        <v>0</v>
      </c>
      <c r="Q203" s="1" t="s">
        <v>408</v>
      </c>
      <c r="R203" s="1">
        <v>2.355</v>
      </c>
      <c r="S203" s="1">
        <v>5.16</v>
      </c>
      <c r="T203" s="1">
        <v>5.0839999999999996</v>
      </c>
      <c r="U203" s="1">
        <v>0.55400000000000005</v>
      </c>
      <c r="V203" s="1">
        <v>0.61499999999999999</v>
      </c>
    </row>
    <row r="204" spans="1:22" x14ac:dyDescent="0.35">
      <c r="A204" s="1" t="s">
        <v>409</v>
      </c>
      <c r="B204" s="5">
        <v>45756</v>
      </c>
      <c r="C204" s="6">
        <f t="shared" si="3"/>
        <v>2</v>
      </c>
      <c r="D204" s="1">
        <v>2</v>
      </c>
      <c r="E204" s="7">
        <v>0.43055555555555558</v>
      </c>
      <c r="H204" s="1" t="s">
        <v>32</v>
      </c>
      <c r="I204" s="1" t="s">
        <v>33</v>
      </c>
      <c r="J204" s="1">
        <v>6</v>
      </c>
      <c r="K204" s="1">
        <v>123</v>
      </c>
      <c r="L204" s="1" t="s">
        <v>27</v>
      </c>
      <c r="M204" s="1" t="s">
        <v>26</v>
      </c>
      <c r="N204" s="1">
        <v>0</v>
      </c>
      <c r="Q204" s="1">
        <v>6750</v>
      </c>
      <c r="R204" s="1">
        <v>0.77600000000000002</v>
      </c>
      <c r="S204" s="1">
        <v>2.8130000000000002</v>
      </c>
      <c r="T204" s="1">
        <v>2.944</v>
      </c>
      <c r="U204" s="1">
        <v>0.20599999999999999</v>
      </c>
      <c r="V204" s="1">
        <v>0.15</v>
      </c>
    </row>
    <row r="205" spans="1:22" x14ac:dyDescent="0.35">
      <c r="A205" s="1" t="s">
        <v>410</v>
      </c>
      <c r="B205" s="5">
        <v>45756</v>
      </c>
      <c r="C205" s="6">
        <f t="shared" si="3"/>
        <v>2</v>
      </c>
      <c r="D205" s="1">
        <v>2</v>
      </c>
      <c r="E205" s="7">
        <v>0.43055555555555558</v>
      </c>
      <c r="H205" s="1" t="s">
        <v>25</v>
      </c>
      <c r="I205" s="1" t="s">
        <v>26</v>
      </c>
      <c r="J205" s="1">
        <v>3</v>
      </c>
      <c r="K205" s="1">
        <v>124</v>
      </c>
      <c r="L205" s="1" t="s">
        <v>27</v>
      </c>
      <c r="M205" s="1" t="s">
        <v>26</v>
      </c>
      <c r="N205" s="1">
        <v>0</v>
      </c>
      <c r="Q205" s="1" t="s">
        <v>411</v>
      </c>
      <c r="R205" s="1">
        <v>1.996</v>
      </c>
      <c r="S205" s="1">
        <v>4.2640000000000002</v>
      </c>
      <c r="T205" s="1">
        <v>4.17</v>
      </c>
      <c r="U205" s="1">
        <v>0.48</v>
      </c>
      <c r="V205" s="1">
        <v>0.41699999999999998</v>
      </c>
    </row>
    <row r="206" spans="1:22" x14ac:dyDescent="0.35">
      <c r="A206" s="1" t="s">
        <v>412</v>
      </c>
      <c r="B206" s="5">
        <v>45756</v>
      </c>
      <c r="C206" s="6">
        <f t="shared" si="3"/>
        <v>2</v>
      </c>
      <c r="D206" s="1">
        <v>2</v>
      </c>
      <c r="E206" s="7">
        <v>0.43055555555555558</v>
      </c>
      <c r="H206" s="1" t="s">
        <v>32</v>
      </c>
      <c r="I206" s="1" t="s">
        <v>33</v>
      </c>
      <c r="J206" s="1">
        <v>3</v>
      </c>
      <c r="K206" s="1">
        <v>124</v>
      </c>
      <c r="L206" s="1" t="s">
        <v>27</v>
      </c>
      <c r="M206" s="1" t="s">
        <v>26</v>
      </c>
      <c r="N206" s="1">
        <v>0</v>
      </c>
      <c r="Q206" s="1">
        <v>6751</v>
      </c>
      <c r="R206" s="1">
        <v>0.68</v>
      </c>
      <c r="S206" s="1" t="s">
        <v>26</v>
      </c>
      <c r="T206" s="1">
        <v>2.5609999999999999</v>
      </c>
      <c r="U206" s="1">
        <v>0.182</v>
      </c>
      <c r="V206" s="1">
        <v>9.8000000000000004E-2</v>
      </c>
    </row>
    <row r="207" spans="1:22" x14ac:dyDescent="0.35">
      <c r="A207" s="1" t="s">
        <v>413</v>
      </c>
      <c r="B207" s="5">
        <v>45756</v>
      </c>
      <c r="C207" s="6">
        <f t="shared" si="3"/>
        <v>2</v>
      </c>
      <c r="D207" s="1">
        <v>2</v>
      </c>
      <c r="E207" s="7">
        <v>0.4375</v>
      </c>
      <c r="H207" s="1" t="s">
        <v>25</v>
      </c>
      <c r="I207" s="1" t="s">
        <v>26</v>
      </c>
      <c r="J207" s="1">
        <v>3</v>
      </c>
      <c r="K207" s="1">
        <v>125</v>
      </c>
      <c r="L207" s="1" t="s">
        <v>27</v>
      </c>
      <c r="M207" s="1" t="s">
        <v>26</v>
      </c>
      <c r="N207" s="1">
        <v>0</v>
      </c>
      <c r="Q207" s="1">
        <v>6614</v>
      </c>
      <c r="R207" s="1">
        <v>2.2290000000000001</v>
      </c>
      <c r="S207" s="1">
        <v>4.3360000000000003</v>
      </c>
      <c r="T207" s="1">
        <v>4.1079999999999997</v>
      </c>
      <c r="U207" s="1">
        <v>0.49299999999999999</v>
      </c>
      <c r="V207" s="1">
        <v>0.63900000000000001</v>
      </c>
    </row>
    <row r="208" spans="1:22" x14ac:dyDescent="0.35">
      <c r="A208" s="1" t="s">
        <v>414</v>
      </c>
      <c r="B208" s="5">
        <v>45756</v>
      </c>
      <c r="C208" s="6">
        <f t="shared" si="3"/>
        <v>2</v>
      </c>
      <c r="D208" s="1">
        <v>2</v>
      </c>
      <c r="E208" s="7">
        <v>0.4375</v>
      </c>
      <c r="H208" s="1" t="s">
        <v>32</v>
      </c>
      <c r="I208" s="1" t="s">
        <v>33</v>
      </c>
      <c r="J208" s="1">
        <v>3</v>
      </c>
      <c r="K208" s="1">
        <v>125</v>
      </c>
      <c r="L208" s="1" t="s">
        <v>27</v>
      </c>
      <c r="M208" s="1" t="s">
        <v>26</v>
      </c>
      <c r="N208" s="1">
        <v>0</v>
      </c>
      <c r="Q208" s="1">
        <v>6752</v>
      </c>
      <c r="R208" s="1">
        <v>0.83899999999999997</v>
      </c>
      <c r="S208" s="1" t="s">
        <v>26</v>
      </c>
      <c r="T208" s="1">
        <v>2.7749999999999999</v>
      </c>
      <c r="U208" s="1">
        <v>0.221</v>
      </c>
      <c r="V208" s="1">
        <v>0.16800000000000001</v>
      </c>
    </row>
    <row r="209" spans="1:23" x14ac:dyDescent="0.35">
      <c r="A209" s="1" t="s">
        <v>415</v>
      </c>
      <c r="B209" s="5">
        <v>45756</v>
      </c>
      <c r="C209" s="6">
        <f t="shared" si="3"/>
        <v>2</v>
      </c>
      <c r="D209" s="1">
        <v>2</v>
      </c>
      <c r="E209" s="7">
        <v>0.44444444444444442</v>
      </c>
      <c r="H209" s="1" t="s">
        <v>32</v>
      </c>
      <c r="I209" s="1" t="s">
        <v>247</v>
      </c>
      <c r="J209" s="1">
        <v>3</v>
      </c>
      <c r="K209" s="1">
        <v>125</v>
      </c>
      <c r="L209" s="1" t="s">
        <v>27</v>
      </c>
      <c r="M209" s="1" t="s">
        <v>26</v>
      </c>
      <c r="N209" s="1">
        <v>0</v>
      </c>
      <c r="Q209" s="1">
        <v>6753</v>
      </c>
      <c r="R209" s="1">
        <v>0.64300000000000002</v>
      </c>
      <c r="S209" s="1">
        <v>2.5430000000000001</v>
      </c>
      <c r="T209" s="1" t="s">
        <v>26</v>
      </c>
      <c r="U209" s="1">
        <v>0.189</v>
      </c>
      <c r="V209" s="1">
        <v>0.13700000000000001</v>
      </c>
    </row>
    <row r="210" spans="1:23" x14ac:dyDescent="0.35">
      <c r="A210" s="1" t="s">
        <v>416</v>
      </c>
      <c r="B210" s="5">
        <v>45756</v>
      </c>
      <c r="C210" s="6">
        <f t="shared" si="3"/>
        <v>2</v>
      </c>
      <c r="D210" s="1">
        <v>2</v>
      </c>
      <c r="E210" s="7">
        <v>0.44444444444444442</v>
      </c>
      <c r="H210" s="1" t="s">
        <v>25</v>
      </c>
      <c r="I210" s="1" t="s">
        <v>26</v>
      </c>
      <c r="J210" s="1">
        <v>3</v>
      </c>
      <c r="K210" s="1">
        <v>126</v>
      </c>
      <c r="L210" s="1" t="s">
        <v>27</v>
      </c>
      <c r="M210" s="1" t="s">
        <v>26</v>
      </c>
      <c r="N210" s="1">
        <v>0</v>
      </c>
      <c r="Q210" s="1" t="s">
        <v>417</v>
      </c>
      <c r="R210" s="1">
        <v>2.0499999999999998</v>
      </c>
      <c r="S210" s="1">
        <v>4.4550000000000001</v>
      </c>
      <c r="T210" s="1">
        <v>4.3949999999999996</v>
      </c>
      <c r="U210" s="1">
        <v>0.47799999999999998</v>
      </c>
      <c r="V210" s="1">
        <v>0.47799999999999998</v>
      </c>
    </row>
    <row r="211" spans="1:23" x14ac:dyDescent="0.35">
      <c r="A211" s="1" t="s">
        <v>418</v>
      </c>
      <c r="B211" s="5">
        <v>45756</v>
      </c>
      <c r="C211" s="6">
        <f t="shared" si="3"/>
        <v>2</v>
      </c>
      <c r="D211" s="1">
        <v>2</v>
      </c>
      <c r="E211" s="7">
        <v>0.44444444444444442</v>
      </c>
      <c r="H211" s="1" t="s">
        <v>32</v>
      </c>
      <c r="I211" s="1" t="s">
        <v>33</v>
      </c>
      <c r="J211" s="1">
        <v>3</v>
      </c>
      <c r="K211" s="1">
        <v>126</v>
      </c>
      <c r="L211" s="1" t="s">
        <v>27</v>
      </c>
      <c r="M211" s="1" t="s">
        <v>26</v>
      </c>
      <c r="N211" s="1">
        <v>0</v>
      </c>
      <c r="Q211" s="1">
        <v>6754</v>
      </c>
      <c r="R211" s="1">
        <v>0.56000000000000005</v>
      </c>
      <c r="S211" s="1" t="s">
        <v>26</v>
      </c>
      <c r="T211" s="1">
        <v>2.226</v>
      </c>
      <c r="U211" s="1">
        <v>0.158</v>
      </c>
      <c r="V211" s="1">
        <v>0.109</v>
      </c>
    </row>
    <row r="212" spans="1:23" x14ac:dyDescent="0.35">
      <c r="A212" s="1" t="s">
        <v>419</v>
      </c>
      <c r="B212" s="5">
        <v>45756</v>
      </c>
      <c r="C212" s="6">
        <f t="shared" si="3"/>
        <v>2</v>
      </c>
      <c r="D212" s="1">
        <v>2</v>
      </c>
      <c r="E212" s="7">
        <v>0.44444444444444442</v>
      </c>
      <c r="H212" s="1" t="s">
        <v>25</v>
      </c>
      <c r="I212" s="1" t="s">
        <v>26</v>
      </c>
      <c r="J212" s="1">
        <v>3</v>
      </c>
      <c r="K212" s="1">
        <v>127</v>
      </c>
      <c r="L212" s="1" t="s">
        <v>27</v>
      </c>
      <c r="M212" s="1" t="s">
        <v>26</v>
      </c>
      <c r="N212" s="1">
        <v>0</v>
      </c>
      <c r="Q212" s="1" t="s">
        <v>420</v>
      </c>
      <c r="R212" s="1">
        <v>2.278</v>
      </c>
      <c r="S212" s="1">
        <v>4.6929999999999996</v>
      </c>
      <c r="T212" s="1">
        <v>4.5590000000000002</v>
      </c>
      <c r="U212" s="1">
        <v>0.47899999999999998</v>
      </c>
      <c r="V212" s="1">
        <v>0.624</v>
      </c>
    </row>
    <row r="213" spans="1:23" x14ac:dyDescent="0.35">
      <c r="A213" s="1" t="s">
        <v>421</v>
      </c>
      <c r="B213" s="5">
        <v>45756</v>
      </c>
      <c r="C213" s="6">
        <f t="shared" si="3"/>
        <v>2</v>
      </c>
      <c r="D213" s="1">
        <v>2</v>
      </c>
      <c r="E213" s="7">
        <v>0.44444444444444442</v>
      </c>
      <c r="H213" s="1" t="s">
        <v>32</v>
      </c>
      <c r="I213" s="1" t="s">
        <v>33</v>
      </c>
      <c r="J213" s="1">
        <v>3</v>
      </c>
      <c r="K213" s="1">
        <v>127</v>
      </c>
      <c r="L213" s="1" t="s">
        <v>27</v>
      </c>
      <c r="M213" s="1" t="s">
        <v>26</v>
      </c>
      <c r="N213" s="1">
        <v>0</v>
      </c>
      <c r="Q213" s="1">
        <v>6755</v>
      </c>
      <c r="R213" s="1">
        <v>0.77700000000000002</v>
      </c>
      <c r="S213" s="1" t="s">
        <v>26</v>
      </c>
      <c r="T213" s="1">
        <v>2.7050000000000001</v>
      </c>
      <c r="U213" s="1">
        <v>0.19700000000000001</v>
      </c>
      <c r="V213" s="1">
        <v>0.14899999999999999</v>
      </c>
    </row>
    <row r="214" spans="1:23" x14ac:dyDescent="0.35">
      <c r="A214" s="1" t="s">
        <v>422</v>
      </c>
      <c r="B214" s="5">
        <v>45756</v>
      </c>
      <c r="C214" s="6">
        <f t="shared" si="3"/>
        <v>2</v>
      </c>
      <c r="D214" s="1">
        <v>2</v>
      </c>
      <c r="E214" s="7">
        <v>0.44444444444444442</v>
      </c>
      <c r="H214" s="1" t="s">
        <v>203</v>
      </c>
      <c r="I214" s="1" t="s">
        <v>26</v>
      </c>
      <c r="J214" s="1">
        <v>3</v>
      </c>
      <c r="K214" s="1">
        <v>128</v>
      </c>
      <c r="L214" s="1" t="s">
        <v>27</v>
      </c>
      <c r="M214" s="1" t="s">
        <v>26</v>
      </c>
      <c r="N214" s="1">
        <v>1</v>
      </c>
      <c r="Q214" s="1" t="s">
        <v>423</v>
      </c>
      <c r="R214" s="1">
        <v>1.6439999999999999</v>
      </c>
      <c r="S214" s="1">
        <v>4.7850000000000001</v>
      </c>
      <c r="T214" s="1">
        <v>4.8360000000000003</v>
      </c>
      <c r="U214" s="1">
        <v>0.47899999999999998</v>
      </c>
      <c r="V214" s="1">
        <v>0.317</v>
      </c>
    </row>
    <row r="215" spans="1:23" x14ac:dyDescent="0.35">
      <c r="A215" s="1" t="s">
        <v>424</v>
      </c>
      <c r="B215" s="5">
        <v>45756</v>
      </c>
      <c r="C215" s="6">
        <f t="shared" si="3"/>
        <v>2</v>
      </c>
      <c r="D215" s="1">
        <v>2</v>
      </c>
      <c r="E215" s="7">
        <v>0.4513888888888889</v>
      </c>
      <c r="H215" s="1" t="s">
        <v>25</v>
      </c>
      <c r="I215" s="1" t="s">
        <v>26</v>
      </c>
      <c r="J215" s="1">
        <v>3</v>
      </c>
      <c r="K215" s="1">
        <v>129</v>
      </c>
      <c r="L215" s="1" t="s">
        <v>27</v>
      </c>
      <c r="M215" s="1" t="s">
        <v>26</v>
      </c>
      <c r="N215" s="1">
        <v>0</v>
      </c>
      <c r="Q215" s="1" t="s">
        <v>425</v>
      </c>
      <c r="R215" s="1">
        <v>2.1509999999999998</v>
      </c>
      <c r="S215" s="1">
        <v>5.1360000000000001</v>
      </c>
      <c r="T215" s="1">
        <v>5.1079999999999997</v>
      </c>
      <c r="U215" s="1">
        <v>0.51300000000000001</v>
      </c>
      <c r="V215" s="1">
        <v>0.48799999999999999</v>
      </c>
    </row>
    <row r="216" spans="1:23" x14ac:dyDescent="0.35">
      <c r="A216" s="1" t="s">
        <v>426</v>
      </c>
      <c r="B216" s="5">
        <v>45756</v>
      </c>
      <c r="C216" s="6">
        <f t="shared" si="3"/>
        <v>2</v>
      </c>
      <c r="D216" s="1">
        <v>2</v>
      </c>
      <c r="E216" s="7">
        <v>0.45833333333333331</v>
      </c>
      <c r="H216" s="1" t="s">
        <v>32</v>
      </c>
      <c r="I216" s="1" t="s">
        <v>33</v>
      </c>
      <c r="J216" s="1">
        <v>3</v>
      </c>
      <c r="K216" s="1">
        <v>129</v>
      </c>
      <c r="L216" s="1" t="s">
        <v>27</v>
      </c>
      <c r="M216" s="1" t="s">
        <v>26</v>
      </c>
      <c r="N216" s="1">
        <v>0</v>
      </c>
      <c r="Q216" s="1">
        <v>6756</v>
      </c>
      <c r="R216" s="1">
        <v>0.68500000000000005</v>
      </c>
      <c r="S216" s="1">
        <v>2.5</v>
      </c>
      <c r="T216" s="1" t="s">
        <v>26</v>
      </c>
      <c r="U216" s="1">
        <v>0.17499999999999999</v>
      </c>
      <c r="V216" s="1">
        <v>0.11600000000000001</v>
      </c>
    </row>
    <row r="217" spans="1:23" x14ac:dyDescent="0.35">
      <c r="A217" s="1" t="s">
        <v>427</v>
      </c>
      <c r="B217" s="5">
        <v>45756</v>
      </c>
      <c r="C217" s="6">
        <f t="shared" si="3"/>
        <v>2</v>
      </c>
      <c r="D217" s="1">
        <v>2</v>
      </c>
      <c r="E217" s="7">
        <v>0.45833333333333331</v>
      </c>
      <c r="H217" s="1" t="s">
        <v>25</v>
      </c>
      <c r="I217" s="1" t="s">
        <v>26</v>
      </c>
      <c r="J217" s="1">
        <v>3</v>
      </c>
      <c r="K217" s="1">
        <v>130</v>
      </c>
      <c r="L217" s="1" t="s">
        <v>27</v>
      </c>
      <c r="M217" s="1" t="s">
        <v>26</v>
      </c>
      <c r="N217" s="1">
        <v>0</v>
      </c>
      <c r="Q217" s="1" t="s">
        <v>428</v>
      </c>
      <c r="R217" s="1">
        <v>1.829</v>
      </c>
      <c r="S217" s="1">
        <v>4.5970000000000004</v>
      </c>
      <c r="T217" s="1">
        <v>4.46</v>
      </c>
      <c r="U217" s="1">
        <v>0.49299999999999999</v>
      </c>
      <c r="V217" s="1">
        <v>0.38200000000000001</v>
      </c>
    </row>
    <row r="218" spans="1:23" x14ac:dyDescent="0.35">
      <c r="A218" s="1" t="s">
        <v>429</v>
      </c>
      <c r="B218" s="5">
        <v>45756</v>
      </c>
      <c r="C218" s="6">
        <f t="shared" si="3"/>
        <v>2</v>
      </c>
      <c r="D218" s="1">
        <v>2</v>
      </c>
      <c r="E218" s="7">
        <v>0.45833333333333298</v>
      </c>
      <c r="H218" s="1" t="s">
        <v>25</v>
      </c>
      <c r="I218" s="1" t="s">
        <v>26</v>
      </c>
      <c r="J218" s="1">
        <v>3</v>
      </c>
      <c r="K218" s="1">
        <v>131</v>
      </c>
      <c r="L218" s="1" t="s">
        <v>27</v>
      </c>
      <c r="M218" s="1" t="s">
        <v>26</v>
      </c>
      <c r="N218" s="1">
        <v>0</v>
      </c>
      <c r="Q218" s="1" t="s">
        <v>430</v>
      </c>
      <c r="R218" s="1">
        <v>2.6819999999999999</v>
      </c>
      <c r="S218" s="1">
        <v>5.149</v>
      </c>
      <c r="T218" s="1" t="s">
        <v>26</v>
      </c>
      <c r="U218" s="1">
        <v>0.50800000000000001</v>
      </c>
      <c r="V218" s="1">
        <v>0.63900000000000001</v>
      </c>
    </row>
    <row r="219" spans="1:23" x14ac:dyDescent="0.35">
      <c r="A219" s="1" t="s">
        <v>431</v>
      </c>
      <c r="B219" s="5">
        <v>45756</v>
      </c>
      <c r="C219" s="6">
        <f t="shared" si="3"/>
        <v>2</v>
      </c>
      <c r="D219" s="1">
        <v>2</v>
      </c>
      <c r="E219" s="7">
        <v>0.45833333333333298</v>
      </c>
      <c r="H219" s="1" t="s">
        <v>32</v>
      </c>
      <c r="I219" s="1" t="s">
        <v>33</v>
      </c>
      <c r="J219" s="1">
        <v>3</v>
      </c>
      <c r="K219" s="1">
        <v>131</v>
      </c>
      <c r="L219" s="1" t="s">
        <v>27</v>
      </c>
      <c r="M219" s="1" t="s">
        <v>26</v>
      </c>
      <c r="N219" s="1">
        <v>0</v>
      </c>
      <c r="Q219" s="1">
        <v>6757</v>
      </c>
      <c r="R219" s="1">
        <v>0.75800000000000001</v>
      </c>
      <c r="S219" s="1">
        <v>2.613</v>
      </c>
      <c r="T219" s="1">
        <v>2.581</v>
      </c>
      <c r="U219" s="1">
        <v>0.23</v>
      </c>
      <c r="V219" s="1">
        <v>0.157</v>
      </c>
    </row>
    <row r="220" spans="1:23" x14ac:dyDescent="0.35">
      <c r="A220" s="1" t="s">
        <v>432</v>
      </c>
      <c r="B220" s="5">
        <v>45756</v>
      </c>
      <c r="C220" s="6">
        <f t="shared" si="3"/>
        <v>2</v>
      </c>
      <c r="D220" s="1">
        <v>2</v>
      </c>
      <c r="E220" s="7">
        <v>0.45833333333333298</v>
      </c>
      <c r="H220" s="1" t="s">
        <v>25</v>
      </c>
      <c r="I220" s="1" t="s">
        <v>26</v>
      </c>
      <c r="J220" s="1">
        <v>3</v>
      </c>
      <c r="K220" s="1">
        <v>132</v>
      </c>
      <c r="L220" s="1" t="s">
        <v>27</v>
      </c>
      <c r="M220" s="1" t="s">
        <v>26</v>
      </c>
      <c r="N220" s="1">
        <v>0</v>
      </c>
      <c r="Q220" s="1">
        <v>6628</v>
      </c>
      <c r="R220" s="1">
        <v>2.0859999999999999</v>
      </c>
      <c r="S220" s="1" t="s">
        <v>26</v>
      </c>
      <c r="T220" s="1">
        <v>4.1619999999999999</v>
      </c>
      <c r="U220" s="1">
        <v>0.47099999999999997</v>
      </c>
      <c r="V220" s="1">
        <v>0.45400000000000001</v>
      </c>
      <c r="W220" s="1" t="s">
        <v>433</v>
      </c>
    </row>
    <row r="221" spans="1:23" x14ac:dyDescent="0.35">
      <c r="A221" s="1" t="s">
        <v>434</v>
      </c>
      <c r="B221" s="5">
        <v>45756</v>
      </c>
      <c r="C221" s="6">
        <f t="shared" si="3"/>
        <v>2</v>
      </c>
      <c r="D221" s="1">
        <v>2</v>
      </c>
      <c r="E221" s="7">
        <v>0.45833333333333298</v>
      </c>
      <c r="H221" s="1" t="s">
        <v>32</v>
      </c>
      <c r="I221" s="1" t="s">
        <v>33</v>
      </c>
      <c r="J221" s="1">
        <v>3</v>
      </c>
      <c r="K221" s="1">
        <v>132</v>
      </c>
      <c r="L221" s="1" t="s">
        <v>27</v>
      </c>
      <c r="M221" s="1" t="s">
        <v>26</v>
      </c>
      <c r="N221" s="1">
        <v>0</v>
      </c>
      <c r="Q221" s="1">
        <v>6758</v>
      </c>
      <c r="R221" s="1">
        <v>0.65800000000000003</v>
      </c>
      <c r="S221" s="1">
        <v>2.1859999999999999</v>
      </c>
      <c r="T221" s="1">
        <v>2.16</v>
      </c>
      <c r="U221" s="1">
        <v>0.17699999999999999</v>
      </c>
      <c r="V221" s="1">
        <v>0.12</v>
      </c>
    </row>
    <row r="222" spans="1:23" x14ac:dyDescent="0.35">
      <c r="A222" s="1" t="s">
        <v>435</v>
      </c>
      <c r="B222" s="5">
        <v>45756</v>
      </c>
      <c r="C222" s="6">
        <f t="shared" si="3"/>
        <v>2</v>
      </c>
      <c r="D222" s="1">
        <v>2</v>
      </c>
      <c r="E222" s="7">
        <v>0.45833333333333298</v>
      </c>
      <c r="H222" s="1" t="s">
        <v>25</v>
      </c>
      <c r="I222" s="1" t="s">
        <v>26</v>
      </c>
      <c r="J222" s="1">
        <v>1</v>
      </c>
      <c r="K222" s="1">
        <v>133</v>
      </c>
      <c r="L222" s="1" t="s">
        <v>27</v>
      </c>
      <c r="M222" s="1" t="s">
        <v>26</v>
      </c>
      <c r="N222" s="1">
        <v>0</v>
      </c>
      <c r="Q222" s="1" t="s">
        <v>436</v>
      </c>
      <c r="R222" s="1">
        <v>2.2210000000000001</v>
      </c>
      <c r="S222" s="1">
        <v>4.194</v>
      </c>
      <c r="T222" s="1">
        <v>4.1349999999999998</v>
      </c>
      <c r="U222" s="1">
        <v>0.47299999999999998</v>
      </c>
      <c r="V222" s="1">
        <v>0.51300000000000001</v>
      </c>
    </row>
    <row r="223" spans="1:23" x14ac:dyDescent="0.35">
      <c r="A223" s="1" t="s">
        <v>437</v>
      </c>
      <c r="B223" s="5">
        <v>45756</v>
      </c>
      <c r="C223" s="6">
        <f t="shared" si="3"/>
        <v>2</v>
      </c>
      <c r="D223" s="1">
        <v>2</v>
      </c>
      <c r="E223" s="7">
        <v>0.45833333333333298</v>
      </c>
      <c r="H223" s="1" t="s">
        <v>32</v>
      </c>
      <c r="I223" s="1" t="s">
        <v>33</v>
      </c>
      <c r="J223" s="1">
        <v>1</v>
      </c>
      <c r="K223" s="1">
        <v>133</v>
      </c>
      <c r="L223" s="1" t="s">
        <v>27</v>
      </c>
      <c r="M223" s="1" t="s">
        <v>26</v>
      </c>
      <c r="N223" s="1">
        <v>0</v>
      </c>
      <c r="Q223" s="1">
        <v>6759</v>
      </c>
      <c r="R223" s="1">
        <v>0.85599999999999998</v>
      </c>
      <c r="S223" s="1">
        <v>3.0009999999999999</v>
      </c>
      <c r="T223" s="1">
        <v>2.6259999999999999</v>
      </c>
      <c r="U223" s="1">
        <v>0.224</v>
      </c>
      <c r="V223" s="1">
        <v>0.128</v>
      </c>
    </row>
    <row r="224" spans="1:23" x14ac:dyDescent="0.35">
      <c r="A224" s="1" t="s">
        <v>438</v>
      </c>
      <c r="B224" s="5">
        <v>45775</v>
      </c>
      <c r="C224" s="6">
        <f t="shared" si="3"/>
        <v>4</v>
      </c>
      <c r="D224" s="1">
        <v>2</v>
      </c>
      <c r="E224" s="7">
        <v>0.62847222222222221</v>
      </c>
      <c r="H224" s="1" t="s">
        <v>25</v>
      </c>
      <c r="I224" s="1" t="s">
        <v>26</v>
      </c>
      <c r="J224" s="1">
        <v>5</v>
      </c>
      <c r="K224" s="1">
        <v>134</v>
      </c>
      <c r="L224" s="1" t="s">
        <v>38</v>
      </c>
      <c r="M224" s="1">
        <v>12</v>
      </c>
      <c r="N224" s="1">
        <v>0</v>
      </c>
      <c r="Q224" s="1" t="s">
        <v>439</v>
      </c>
      <c r="R224" s="1">
        <v>2.4460000000000002</v>
      </c>
      <c r="S224" s="1">
        <v>4.5789999999999997</v>
      </c>
      <c r="T224" s="1">
        <v>4.7039999999999997</v>
      </c>
      <c r="U224" s="1">
        <v>0.53300000000000003</v>
      </c>
      <c r="V224" s="1">
        <v>0.747</v>
      </c>
    </row>
    <row r="225" spans="1:22" x14ac:dyDescent="0.35">
      <c r="A225" s="1" t="s">
        <v>440</v>
      </c>
      <c r="B225" s="5">
        <v>45775</v>
      </c>
      <c r="C225" s="6">
        <f t="shared" si="3"/>
        <v>4</v>
      </c>
      <c r="D225" s="1">
        <v>2</v>
      </c>
      <c r="E225" s="7">
        <v>0.62847222222222221</v>
      </c>
      <c r="H225" s="1" t="s">
        <v>32</v>
      </c>
      <c r="I225" s="1" t="s">
        <v>33</v>
      </c>
      <c r="J225" s="1">
        <v>5</v>
      </c>
      <c r="K225" s="1">
        <v>134</v>
      </c>
      <c r="L225" s="1" t="s">
        <v>38</v>
      </c>
      <c r="M225" s="1">
        <v>12</v>
      </c>
      <c r="N225" s="1">
        <v>0</v>
      </c>
      <c r="Q225" s="1">
        <v>6760</v>
      </c>
      <c r="R225" s="1">
        <v>0.63800000000000001</v>
      </c>
      <c r="S225" s="1">
        <v>2.1859999999999999</v>
      </c>
      <c r="T225" s="1">
        <v>2.214</v>
      </c>
      <c r="U225" s="1">
        <v>0.17499999999999999</v>
      </c>
      <c r="V225" s="1">
        <v>0.126</v>
      </c>
    </row>
    <row r="226" spans="1:22" x14ac:dyDescent="0.35">
      <c r="A226" s="1" t="s">
        <v>441</v>
      </c>
      <c r="B226" s="5">
        <v>45775</v>
      </c>
      <c r="C226" s="6">
        <f t="shared" si="3"/>
        <v>4</v>
      </c>
      <c r="D226" s="1">
        <v>2</v>
      </c>
      <c r="E226" s="7">
        <v>0.63055555555555554</v>
      </c>
      <c r="H226" s="1" t="s">
        <v>25</v>
      </c>
      <c r="I226" s="1" t="s">
        <v>26</v>
      </c>
      <c r="J226" s="1">
        <v>5</v>
      </c>
      <c r="K226" s="1">
        <v>135</v>
      </c>
      <c r="L226" s="1" t="s">
        <v>38</v>
      </c>
      <c r="M226" s="1">
        <v>12</v>
      </c>
      <c r="N226" s="1">
        <v>0</v>
      </c>
      <c r="Q226" s="1" t="s">
        <v>442</v>
      </c>
      <c r="R226" s="1">
        <v>2.3450000000000002</v>
      </c>
      <c r="S226" s="1">
        <v>4.3559999999999999</v>
      </c>
      <c r="T226" s="1">
        <v>4.5279999999999996</v>
      </c>
      <c r="U226" s="1">
        <v>0.505</v>
      </c>
      <c r="V226" s="1">
        <v>0.65100000000000002</v>
      </c>
    </row>
    <row r="227" spans="1:22" x14ac:dyDescent="0.35">
      <c r="A227" s="1" t="s">
        <v>443</v>
      </c>
      <c r="B227" s="5">
        <v>45775</v>
      </c>
      <c r="C227" s="6">
        <f t="shared" si="3"/>
        <v>4</v>
      </c>
      <c r="D227" s="1">
        <v>2</v>
      </c>
      <c r="E227" s="7">
        <v>0.63194444444444442</v>
      </c>
      <c r="H227" s="1" t="s">
        <v>32</v>
      </c>
      <c r="I227" s="1" t="s">
        <v>33</v>
      </c>
      <c r="J227" s="1">
        <v>5</v>
      </c>
      <c r="K227" s="1">
        <v>135</v>
      </c>
      <c r="L227" s="1" t="s">
        <v>38</v>
      </c>
      <c r="M227" s="1">
        <v>12</v>
      </c>
      <c r="N227" s="1">
        <v>0</v>
      </c>
      <c r="Q227" s="1">
        <v>6761</v>
      </c>
      <c r="R227" s="1">
        <v>0.78</v>
      </c>
      <c r="S227" s="1">
        <v>2.573</v>
      </c>
      <c r="T227" s="1">
        <v>2.516</v>
      </c>
      <c r="U227" s="1">
        <v>0.21</v>
      </c>
      <c r="V227" s="1">
        <v>0.152</v>
      </c>
    </row>
    <row r="228" spans="1:22" x14ac:dyDescent="0.35">
      <c r="A228" s="1" t="s">
        <v>444</v>
      </c>
      <c r="B228" s="5">
        <v>45775</v>
      </c>
      <c r="C228" s="6">
        <f t="shared" si="3"/>
        <v>4</v>
      </c>
      <c r="D228" s="1">
        <v>2</v>
      </c>
      <c r="E228" s="7">
        <v>0.63194444444444442</v>
      </c>
      <c r="H228" s="1" t="s">
        <v>25</v>
      </c>
      <c r="I228" s="1" t="s">
        <v>26</v>
      </c>
      <c r="J228" s="1">
        <v>5</v>
      </c>
      <c r="K228" s="1">
        <v>136</v>
      </c>
      <c r="L228" s="1" t="s">
        <v>38</v>
      </c>
      <c r="M228" s="1">
        <v>12</v>
      </c>
      <c r="N228" s="1">
        <v>0</v>
      </c>
      <c r="Q228" s="1" t="s">
        <v>445</v>
      </c>
      <c r="R228" s="1">
        <v>1.982</v>
      </c>
      <c r="S228" s="1">
        <v>4.5529999999999999</v>
      </c>
      <c r="T228" s="1">
        <v>4.3879999999999999</v>
      </c>
      <c r="U228" s="1">
        <v>0.47299999999999998</v>
      </c>
      <c r="V228" s="1">
        <v>0.42799999999999999</v>
      </c>
    </row>
    <row r="229" spans="1:22" x14ac:dyDescent="0.35">
      <c r="A229" s="1" t="s">
        <v>446</v>
      </c>
      <c r="B229" s="5">
        <v>45775</v>
      </c>
      <c r="C229" s="6">
        <f t="shared" si="3"/>
        <v>4</v>
      </c>
      <c r="D229" s="1">
        <v>2</v>
      </c>
      <c r="H229" s="1" t="s">
        <v>203</v>
      </c>
      <c r="I229" s="1" t="s">
        <v>26</v>
      </c>
      <c r="J229" s="1">
        <v>10</v>
      </c>
      <c r="K229" s="1">
        <v>137</v>
      </c>
      <c r="L229" s="1" t="s">
        <v>38</v>
      </c>
      <c r="M229" s="1">
        <v>13</v>
      </c>
      <c r="N229" s="1">
        <v>0</v>
      </c>
      <c r="Q229" s="1" t="s">
        <v>447</v>
      </c>
      <c r="R229" s="1">
        <v>2.3580000000000001</v>
      </c>
      <c r="S229" s="1">
        <v>4.6719999999999997</v>
      </c>
      <c r="T229" s="1">
        <v>4.7030000000000003</v>
      </c>
      <c r="U229" s="1">
        <v>0.48799999999999999</v>
      </c>
      <c r="V229" s="1">
        <v>0.49299999999999999</v>
      </c>
    </row>
    <row r="230" spans="1:22" x14ac:dyDescent="0.35">
      <c r="A230" s="1" t="s">
        <v>448</v>
      </c>
      <c r="B230" s="5">
        <v>45775</v>
      </c>
      <c r="C230" s="6">
        <f t="shared" si="3"/>
        <v>4</v>
      </c>
      <c r="D230" s="1">
        <v>2</v>
      </c>
      <c r="H230" s="1" t="s">
        <v>203</v>
      </c>
      <c r="I230" s="1" t="s">
        <v>26</v>
      </c>
      <c r="J230" s="1">
        <v>10</v>
      </c>
      <c r="K230" s="1">
        <v>138</v>
      </c>
      <c r="L230" s="1" t="s">
        <v>38</v>
      </c>
      <c r="M230" s="1">
        <v>13</v>
      </c>
      <c r="N230" s="1">
        <v>0</v>
      </c>
      <c r="Q230" s="1" t="s">
        <v>449</v>
      </c>
      <c r="R230" s="1">
        <v>2.117</v>
      </c>
      <c r="S230" s="1">
        <v>5.0750000000000002</v>
      </c>
      <c r="T230" s="1">
        <v>5.141</v>
      </c>
      <c r="U230" s="1">
        <v>0.52100000000000002</v>
      </c>
      <c r="V230" s="1">
        <v>0.48</v>
      </c>
    </row>
    <row r="231" spans="1:22" x14ac:dyDescent="0.35">
      <c r="A231" s="1" t="s">
        <v>450</v>
      </c>
      <c r="B231" s="5">
        <v>45775</v>
      </c>
      <c r="C231" s="6">
        <f t="shared" si="3"/>
        <v>4</v>
      </c>
      <c r="D231" s="1">
        <v>2</v>
      </c>
      <c r="H231" s="1" t="s">
        <v>203</v>
      </c>
      <c r="I231" s="1" t="s">
        <v>26</v>
      </c>
      <c r="J231" s="1">
        <v>10</v>
      </c>
      <c r="K231" s="1">
        <v>139</v>
      </c>
      <c r="L231" s="1" t="s">
        <v>38</v>
      </c>
      <c r="M231" s="1">
        <v>13</v>
      </c>
      <c r="N231" s="1">
        <v>1</v>
      </c>
      <c r="Q231" s="1" t="s">
        <v>451</v>
      </c>
      <c r="R231" s="1">
        <v>1.956</v>
      </c>
      <c r="S231" s="1">
        <v>4.4889999999999999</v>
      </c>
      <c r="T231" s="1">
        <v>4.4950000000000001</v>
      </c>
      <c r="U231" s="1">
        <v>0.43</v>
      </c>
      <c r="V231" s="1">
        <v>0.4</v>
      </c>
    </row>
    <row r="232" spans="1:22" x14ac:dyDescent="0.35">
      <c r="A232" s="1" t="s">
        <v>452</v>
      </c>
      <c r="B232" s="5">
        <v>45775</v>
      </c>
      <c r="C232" s="6">
        <f t="shared" si="3"/>
        <v>4</v>
      </c>
      <c r="D232" s="1">
        <v>2</v>
      </c>
      <c r="H232" s="1" t="s">
        <v>203</v>
      </c>
      <c r="I232" s="1" t="s">
        <v>26</v>
      </c>
      <c r="J232" s="1">
        <v>10</v>
      </c>
      <c r="K232" s="1">
        <v>140</v>
      </c>
      <c r="L232" s="1" t="s">
        <v>38</v>
      </c>
      <c r="M232" s="1">
        <v>13</v>
      </c>
      <c r="N232" s="1">
        <v>1</v>
      </c>
      <c r="Q232" s="1" t="s">
        <v>453</v>
      </c>
    </row>
    <row r="233" spans="1:22" x14ac:dyDescent="0.35">
      <c r="A233" s="1" t="s">
        <v>454</v>
      </c>
      <c r="B233" s="5">
        <v>45775</v>
      </c>
      <c r="C233" s="6">
        <f t="shared" si="3"/>
        <v>4</v>
      </c>
      <c r="D233" s="1">
        <v>2</v>
      </c>
      <c r="H233" s="1" t="s">
        <v>203</v>
      </c>
      <c r="I233" s="1" t="s">
        <v>26</v>
      </c>
      <c r="J233" s="1">
        <v>10</v>
      </c>
      <c r="K233" s="1">
        <v>141</v>
      </c>
      <c r="L233" s="1" t="s">
        <v>38</v>
      </c>
      <c r="M233" s="1">
        <v>13</v>
      </c>
      <c r="N233" s="1">
        <v>0</v>
      </c>
      <c r="Q233" s="1" t="s">
        <v>455</v>
      </c>
    </row>
    <row r="234" spans="1:22" x14ac:dyDescent="0.35">
      <c r="A234" s="1" t="s">
        <v>456</v>
      </c>
      <c r="B234" s="5">
        <v>45775</v>
      </c>
      <c r="C234" s="6">
        <f t="shared" si="3"/>
        <v>4</v>
      </c>
      <c r="D234" s="1">
        <v>2</v>
      </c>
      <c r="H234" s="1" t="s">
        <v>59</v>
      </c>
      <c r="I234" s="1" t="s">
        <v>33</v>
      </c>
      <c r="J234" s="1">
        <v>10</v>
      </c>
      <c r="K234" s="1">
        <v>141</v>
      </c>
      <c r="L234" s="1" t="s">
        <v>38</v>
      </c>
      <c r="M234" s="1">
        <v>13</v>
      </c>
      <c r="N234" s="1">
        <v>0</v>
      </c>
      <c r="Q234" s="1">
        <v>6762</v>
      </c>
    </row>
    <row r="235" spans="1:22" x14ac:dyDescent="0.35">
      <c r="A235" s="1" t="s">
        <v>457</v>
      </c>
      <c r="B235" s="5">
        <v>45775</v>
      </c>
      <c r="C235" s="6">
        <f t="shared" si="3"/>
        <v>4</v>
      </c>
      <c r="D235" s="1">
        <v>2</v>
      </c>
      <c r="H235" s="1" t="s">
        <v>203</v>
      </c>
      <c r="I235" s="1" t="s">
        <v>26</v>
      </c>
      <c r="J235" s="1">
        <v>10</v>
      </c>
      <c r="K235" s="1">
        <v>142</v>
      </c>
      <c r="L235" s="1" t="s">
        <v>38</v>
      </c>
      <c r="M235" s="1">
        <v>13</v>
      </c>
      <c r="N235" s="1">
        <v>0</v>
      </c>
      <c r="Q235" s="1" t="s">
        <v>458</v>
      </c>
    </row>
    <row r="236" spans="1:22" x14ac:dyDescent="0.35">
      <c r="A236" s="1" t="s">
        <v>459</v>
      </c>
      <c r="B236" s="5">
        <v>45775</v>
      </c>
      <c r="C236" s="6">
        <f t="shared" si="3"/>
        <v>4</v>
      </c>
      <c r="D236" s="1">
        <v>2</v>
      </c>
      <c r="H236" s="1" t="s">
        <v>203</v>
      </c>
      <c r="I236" s="1" t="s">
        <v>26</v>
      </c>
      <c r="J236" s="1">
        <v>10</v>
      </c>
      <c r="K236" s="1">
        <v>143</v>
      </c>
      <c r="L236" s="1" t="s">
        <v>38</v>
      </c>
      <c r="M236" s="1">
        <v>13</v>
      </c>
      <c r="N236" s="1">
        <v>0</v>
      </c>
    </row>
    <row r="237" spans="1:22" x14ac:dyDescent="0.35">
      <c r="A237" s="1" t="s">
        <v>460</v>
      </c>
      <c r="B237" s="5">
        <v>45775</v>
      </c>
      <c r="C237" s="6">
        <f t="shared" si="3"/>
        <v>4</v>
      </c>
      <c r="D237" s="1">
        <v>2</v>
      </c>
      <c r="H237" s="1" t="s">
        <v>59</v>
      </c>
      <c r="I237" s="1" t="s">
        <v>33</v>
      </c>
      <c r="J237" s="1">
        <v>10</v>
      </c>
      <c r="K237" s="1">
        <v>143</v>
      </c>
      <c r="L237" s="1" t="s">
        <v>38</v>
      </c>
      <c r="M237" s="1">
        <v>13</v>
      </c>
      <c r="N237" s="1">
        <v>0</v>
      </c>
      <c r="Q237" s="1">
        <v>6763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CCA6-99EB-4719-9049-4581E85DA398}">
  <sheetPr>
    <pageSetUpPr fitToPage="1"/>
  </sheetPr>
  <dimension ref="A1:Q214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90" sqref="A190"/>
    </sheetView>
  </sheetViews>
  <sheetFormatPr defaultColWidth="17.1796875" defaultRowHeight="14.5" x14ac:dyDescent="0.35"/>
  <cols>
    <col min="1" max="8" width="17.1796875" style="1"/>
    <col min="9" max="13" width="16.81640625" style="1" customWidth="1"/>
    <col min="14" max="14" width="55.81640625" style="1" bestFit="1" customWidth="1"/>
    <col min="15" max="15" width="30.453125" style="1" bestFit="1" customWidth="1"/>
    <col min="16" max="16" width="27.1796875" bestFit="1" customWidth="1"/>
    <col min="17" max="17" width="17.1796875" style="4"/>
  </cols>
  <sheetData>
    <row r="1" spans="1:16" x14ac:dyDescent="0.35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3" t="s">
        <v>22</v>
      </c>
    </row>
    <row r="2" spans="1:16" x14ac:dyDescent="0.35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 t="s">
        <v>26</v>
      </c>
      <c r="I2" s="8">
        <v>2.6789999999999998</v>
      </c>
      <c r="J2" s="1">
        <v>5.4489999999999998</v>
      </c>
      <c r="K2" s="1">
        <v>5.5179999999999998</v>
      </c>
      <c r="L2" s="1">
        <v>0.59299999999999997</v>
      </c>
      <c r="M2" s="1">
        <v>0.78100000000000003</v>
      </c>
      <c r="O2" s="1" t="s">
        <v>30</v>
      </c>
      <c r="P2" s="1"/>
    </row>
    <row r="3" spans="1:16" x14ac:dyDescent="0.35">
      <c r="A3" s="1" t="s">
        <v>31</v>
      </c>
      <c r="B3" s="6">
        <v>1</v>
      </c>
      <c r="C3" s="1" t="s">
        <v>32</v>
      </c>
      <c r="D3" s="1" t="s">
        <v>33</v>
      </c>
      <c r="E3" s="1">
        <v>1</v>
      </c>
      <c r="F3" s="1">
        <v>1</v>
      </c>
      <c r="G3" s="1" t="s">
        <v>27</v>
      </c>
      <c r="H3" s="1" t="s">
        <v>26</v>
      </c>
      <c r="I3" s="1">
        <v>0.52400000000000002</v>
      </c>
      <c r="J3" s="1">
        <v>1.633</v>
      </c>
      <c r="K3" s="1">
        <v>1.6359999999999999</v>
      </c>
      <c r="L3" s="1">
        <v>0.14499999999999999</v>
      </c>
      <c r="M3" s="1">
        <v>0.121</v>
      </c>
      <c r="N3" s="1" t="s">
        <v>34</v>
      </c>
      <c r="O3" s="1" t="s">
        <v>30</v>
      </c>
      <c r="P3" s="1"/>
    </row>
    <row r="4" spans="1:16" x14ac:dyDescent="0.35">
      <c r="A4" s="1" t="s">
        <v>35</v>
      </c>
      <c r="B4" s="6">
        <v>1</v>
      </c>
      <c r="C4" s="1" t="s">
        <v>25</v>
      </c>
      <c r="D4" s="1" t="s">
        <v>26</v>
      </c>
      <c r="E4" s="1">
        <v>1</v>
      </c>
      <c r="F4" s="1">
        <v>2</v>
      </c>
      <c r="G4" s="1" t="s">
        <v>27</v>
      </c>
      <c r="H4" s="1" t="s">
        <v>26</v>
      </c>
      <c r="I4" s="1">
        <v>2.2909999999999999</v>
      </c>
      <c r="J4" s="1" t="s">
        <v>26</v>
      </c>
      <c r="K4" s="1">
        <v>5.65</v>
      </c>
      <c r="L4" s="1">
        <v>0.60599999999999998</v>
      </c>
      <c r="M4" s="1">
        <v>0.498</v>
      </c>
      <c r="O4" s="1" t="s">
        <v>30</v>
      </c>
      <c r="P4" s="1"/>
    </row>
    <row r="5" spans="1:16" x14ac:dyDescent="0.35">
      <c r="A5" s="1" t="s">
        <v>37</v>
      </c>
      <c r="B5" s="6">
        <v>1</v>
      </c>
      <c r="C5" s="1" t="s">
        <v>32</v>
      </c>
      <c r="D5" s="1" t="s">
        <v>33</v>
      </c>
      <c r="E5" s="1">
        <v>1</v>
      </c>
      <c r="F5" s="1">
        <v>3</v>
      </c>
      <c r="G5" s="1" t="s">
        <v>38</v>
      </c>
      <c r="H5" s="1">
        <v>1</v>
      </c>
      <c r="I5" s="1">
        <v>0.59099999999999997</v>
      </c>
      <c r="J5" s="1">
        <v>1.579</v>
      </c>
      <c r="K5" s="1">
        <v>1.8240000000000001</v>
      </c>
      <c r="L5" s="1">
        <v>0.17699999999999999</v>
      </c>
      <c r="M5" s="1">
        <v>0.112</v>
      </c>
      <c r="O5" s="1" t="s">
        <v>30</v>
      </c>
      <c r="P5" s="1"/>
    </row>
    <row r="6" spans="1:16" x14ac:dyDescent="0.35">
      <c r="A6" s="1" t="s">
        <v>40</v>
      </c>
      <c r="B6" s="6">
        <v>1</v>
      </c>
      <c r="C6" s="1" t="s">
        <v>25</v>
      </c>
      <c r="D6" s="1" t="s">
        <v>26</v>
      </c>
      <c r="E6" s="1">
        <v>1</v>
      </c>
      <c r="F6" s="1">
        <v>3</v>
      </c>
      <c r="G6" s="1" t="s">
        <v>38</v>
      </c>
      <c r="H6" s="1">
        <v>1</v>
      </c>
      <c r="I6" s="1">
        <v>1.992</v>
      </c>
      <c r="J6" s="1">
        <v>5.0049999999999999</v>
      </c>
      <c r="K6" s="1">
        <v>4.8440000000000003</v>
      </c>
      <c r="L6" s="1">
        <v>0.49299999999999999</v>
      </c>
      <c r="M6" s="1">
        <v>0.46600000000000003</v>
      </c>
      <c r="O6" s="1" t="s">
        <v>30</v>
      </c>
      <c r="P6" s="1"/>
    </row>
    <row r="7" spans="1:16" x14ac:dyDescent="0.35">
      <c r="A7" s="1" t="s">
        <v>42</v>
      </c>
      <c r="B7" s="6">
        <v>1</v>
      </c>
      <c r="C7" s="1" t="s">
        <v>25</v>
      </c>
      <c r="D7" s="1" t="s">
        <v>26</v>
      </c>
      <c r="E7" s="1">
        <v>1</v>
      </c>
      <c r="F7" s="1">
        <v>4</v>
      </c>
      <c r="G7" s="1" t="s">
        <v>38</v>
      </c>
      <c r="H7" s="1">
        <v>1</v>
      </c>
      <c r="I7" s="1">
        <v>2.0779999999999998</v>
      </c>
      <c r="J7" s="1" t="s">
        <v>26</v>
      </c>
      <c r="K7" s="1">
        <v>4.665</v>
      </c>
      <c r="L7" s="1">
        <v>0.51700000000000002</v>
      </c>
      <c r="M7" s="1">
        <v>0.55000000000000004</v>
      </c>
      <c r="O7" s="1" t="s">
        <v>30</v>
      </c>
      <c r="P7" s="1"/>
    </row>
    <row r="8" spans="1:16" x14ac:dyDescent="0.35">
      <c r="A8" s="1" t="s">
        <v>44</v>
      </c>
      <c r="B8" s="6">
        <v>1</v>
      </c>
      <c r="C8" s="1" t="s">
        <v>25</v>
      </c>
      <c r="D8" s="1" t="s">
        <v>26</v>
      </c>
      <c r="E8" s="1">
        <v>1</v>
      </c>
      <c r="F8" s="1">
        <v>5</v>
      </c>
      <c r="G8" s="1" t="s">
        <v>38</v>
      </c>
      <c r="H8" s="1">
        <v>1</v>
      </c>
      <c r="I8" s="1">
        <v>2.69</v>
      </c>
      <c r="J8" s="1">
        <v>5.4349999999999996</v>
      </c>
      <c r="K8" s="1">
        <v>5.3010000000000002</v>
      </c>
      <c r="L8" s="1">
        <v>0.65</v>
      </c>
      <c r="M8" s="1">
        <v>0.626</v>
      </c>
      <c r="O8" s="1" t="s">
        <v>30</v>
      </c>
      <c r="P8" s="1"/>
    </row>
    <row r="9" spans="1:16" x14ac:dyDescent="0.35">
      <c r="A9" s="1" t="s">
        <v>46</v>
      </c>
      <c r="B9" s="6">
        <v>1</v>
      </c>
      <c r="C9" s="1" t="s">
        <v>25</v>
      </c>
      <c r="D9" s="1" t="s">
        <v>26</v>
      </c>
      <c r="E9" s="1">
        <v>1</v>
      </c>
      <c r="F9" s="1">
        <v>6</v>
      </c>
      <c r="G9" s="1" t="s">
        <v>38</v>
      </c>
      <c r="H9" s="1">
        <v>1</v>
      </c>
      <c r="I9" s="1">
        <v>2.0910000000000002</v>
      </c>
      <c r="J9" s="1">
        <v>3.8889999999999998</v>
      </c>
      <c r="K9" s="1">
        <v>3.883</v>
      </c>
      <c r="L9" s="1">
        <v>0.44500000000000001</v>
      </c>
      <c r="M9" s="1">
        <v>0.505</v>
      </c>
      <c r="N9" s="1" t="s">
        <v>48</v>
      </c>
      <c r="O9" s="1" t="s">
        <v>30</v>
      </c>
      <c r="P9" s="1"/>
    </row>
    <row r="10" spans="1:16" x14ac:dyDescent="0.35">
      <c r="A10" s="1" t="s">
        <v>49</v>
      </c>
      <c r="B10" s="6">
        <v>1</v>
      </c>
      <c r="C10" s="1" t="s">
        <v>25</v>
      </c>
      <c r="D10" s="1" t="s">
        <v>26</v>
      </c>
      <c r="E10" s="1">
        <v>1</v>
      </c>
      <c r="F10" s="1">
        <v>7</v>
      </c>
      <c r="G10" s="1" t="s">
        <v>38</v>
      </c>
      <c r="H10" s="1">
        <v>1</v>
      </c>
      <c r="I10" s="1">
        <v>2.2930000000000001</v>
      </c>
      <c r="J10" s="1" t="s">
        <v>26</v>
      </c>
      <c r="K10" s="1">
        <v>5.4340000000000002</v>
      </c>
      <c r="L10" s="1">
        <v>0.58899999999999997</v>
      </c>
      <c r="M10" s="1">
        <v>0.496</v>
      </c>
      <c r="O10" s="1" t="s">
        <v>30</v>
      </c>
      <c r="P10" s="1"/>
    </row>
    <row r="11" spans="1:16" x14ac:dyDescent="0.35">
      <c r="A11" s="1" t="s">
        <v>51</v>
      </c>
      <c r="B11" s="6">
        <v>1</v>
      </c>
      <c r="C11" s="1" t="s">
        <v>25</v>
      </c>
      <c r="D11" s="1" t="s">
        <v>26</v>
      </c>
      <c r="E11" s="1">
        <v>1</v>
      </c>
      <c r="F11" s="1">
        <v>8</v>
      </c>
      <c r="G11" s="1" t="s">
        <v>38</v>
      </c>
      <c r="H11" s="1">
        <v>1</v>
      </c>
      <c r="I11" s="1">
        <v>2.3580000000000001</v>
      </c>
      <c r="J11" s="1">
        <v>6.01</v>
      </c>
      <c r="K11" s="1">
        <v>5.8390000000000004</v>
      </c>
      <c r="L11" s="1">
        <v>0.64100000000000001</v>
      </c>
      <c r="M11" s="1">
        <v>0.51</v>
      </c>
      <c r="O11" s="1" t="s">
        <v>30</v>
      </c>
      <c r="P11" s="1"/>
    </row>
    <row r="12" spans="1:16" x14ac:dyDescent="0.35">
      <c r="A12" s="1" t="s">
        <v>53</v>
      </c>
      <c r="B12" s="6">
        <v>1</v>
      </c>
      <c r="C12" s="1" t="s">
        <v>25</v>
      </c>
      <c r="D12" s="1" t="s">
        <v>26</v>
      </c>
      <c r="E12" s="1">
        <v>1</v>
      </c>
      <c r="F12" s="1">
        <v>9</v>
      </c>
      <c r="G12" s="1" t="s">
        <v>27</v>
      </c>
      <c r="H12" s="1" t="s">
        <v>26</v>
      </c>
      <c r="I12" s="1">
        <v>2.1059999999999999</v>
      </c>
      <c r="J12" s="1">
        <v>4.8659999999999997</v>
      </c>
      <c r="K12" s="1">
        <v>4.6760000000000002</v>
      </c>
      <c r="L12" s="1">
        <v>0.495</v>
      </c>
      <c r="M12" s="1">
        <v>0.57799999999999996</v>
      </c>
      <c r="O12" s="1" t="s">
        <v>30</v>
      </c>
      <c r="P12" s="1" t="s">
        <v>55</v>
      </c>
    </row>
    <row r="13" spans="1:16" x14ac:dyDescent="0.35">
      <c r="A13" s="1" t="s">
        <v>56</v>
      </c>
      <c r="B13" s="6">
        <v>1</v>
      </c>
      <c r="C13" s="1" t="s">
        <v>32</v>
      </c>
      <c r="D13" s="1" t="s">
        <v>33</v>
      </c>
      <c r="E13" s="1">
        <v>1</v>
      </c>
      <c r="F13" s="1">
        <v>10</v>
      </c>
      <c r="G13" s="1" t="s">
        <v>27</v>
      </c>
      <c r="H13" s="1" t="s">
        <v>26</v>
      </c>
      <c r="I13" s="1">
        <v>0.55700000000000005</v>
      </c>
      <c r="J13" s="1" t="s">
        <v>26</v>
      </c>
      <c r="K13" s="1">
        <v>1.8979999999999999</v>
      </c>
      <c r="L13" s="1">
        <v>0.186</v>
      </c>
      <c r="M13" s="1">
        <v>0.109</v>
      </c>
      <c r="O13" s="1" t="s">
        <v>30</v>
      </c>
      <c r="P13" s="1" t="s">
        <v>57</v>
      </c>
    </row>
    <row r="14" spans="1:16" x14ac:dyDescent="0.35">
      <c r="A14" s="1" t="s">
        <v>62</v>
      </c>
      <c r="B14" s="6">
        <v>1</v>
      </c>
      <c r="C14" s="1" t="s">
        <v>25</v>
      </c>
      <c r="D14" s="1" t="s">
        <v>26</v>
      </c>
      <c r="E14" s="1">
        <v>1</v>
      </c>
      <c r="F14" s="1">
        <v>10</v>
      </c>
      <c r="G14" s="1" t="s">
        <v>27</v>
      </c>
      <c r="H14" s="1" t="s">
        <v>26</v>
      </c>
      <c r="I14" s="1">
        <v>2.2690000000000001</v>
      </c>
      <c r="J14" s="1">
        <v>4.9130000000000003</v>
      </c>
      <c r="K14" s="1">
        <v>5.0620000000000003</v>
      </c>
      <c r="L14" s="1">
        <v>0.54500000000000004</v>
      </c>
      <c r="M14" s="1">
        <v>0.59099999999999997</v>
      </c>
      <c r="O14" s="1" t="s">
        <v>30</v>
      </c>
      <c r="P14" s="1"/>
    </row>
    <row r="15" spans="1:16" x14ac:dyDescent="0.35">
      <c r="A15" s="1" t="s">
        <v>64</v>
      </c>
      <c r="B15" s="6">
        <v>1</v>
      </c>
      <c r="C15" s="1" t="s">
        <v>32</v>
      </c>
      <c r="D15" s="1" t="s">
        <v>33</v>
      </c>
      <c r="E15" s="1">
        <v>1</v>
      </c>
      <c r="F15" s="1">
        <v>11</v>
      </c>
      <c r="G15" s="1" t="s">
        <v>27</v>
      </c>
      <c r="H15" s="1" t="s">
        <v>26</v>
      </c>
      <c r="I15" s="1">
        <v>0.88800000000000001</v>
      </c>
      <c r="J15" s="1">
        <v>3.101</v>
      </c>
      <c r="K15" s="1" t="s">
        <v>26</v>
      </c>
      <c r="L15" s="1">
        <v>0.23400000000000001</v>
      </c>
      <c r="M15" s="1">
        <v>0.17</v>
      </c>
      <c r="O15" s="1" t="s">
        <v>30</v>
      </c>
      <c r="P15" s="1" t="s">
        <v>65</v>
      </c>
    </row>
    <row r="16" spans="1:16" x14ac:dyDescent="0.35">
      <c r="A16" s="1" t="s">
        <v>66</v>
      </c>
      <c r="B16" s="6">
        <v>1</v>
      </c>
      <c r="C16" s="1" t="s">
        <v>25</v>
      </c>
      <c r="D16" s="1" t="s">
        <v>26</v>
      </c>
      <c r="E16" s="1">
        <v>1</v>
      </c>
      <c r="F16" s="1">
        <v>11</v>
      </c>
      <c r="G16" s="1" t="s">
        <v>27</v>
      </c>
      <c r="H16" s="1" t="s">
        <v>26</v>
      </c>
      <c r="I16" s="1">
        <v>2.7069999999999999</v>
      </c>
      <c r="J16" s="1">
        <v>5.234</v>
      </c>
      <c r="K16" s="1">
        <v>4.9790000000000001</v>
      </c>
      <c r="L16" s="1">
        <v>0.60699999999999998</v>
      </c>
      <c r="M16" s="1">
        <v>0.73899999999999999</v>
      </c>
      <c r="O16" s="1" t="s">
        <v>30</v>
      </c>
      <c r="P16" s="1"/>
    </row>
    <row r="17" spans="1:16" x14ac:dyDescent="0.35">
      <c r="A17" s="1" t="s">
        <v>68</v>
      </c>
      <c r="B17" s="6">
        <v>1</v>
      </c>
      <c r="C17" s="1" t="s">
        <v>32</v>
      </c>
      <c r="D17" s="1" t="s">
        <v>60</v>
      </c>
      <c r="E17" s="1">
        <v>1</v>
      </c>
      <c r="F17" s="1">
        <v>12</v>
      </c>
      <c r="G17" s="1" t="s">
        <v>27</v>
      </c>
      <c r="H17" s="1" t="s">
        <v>26</v>
      </c>
      <c r="I17" s="1">
        <v>0.59299999999999997</v>
      </c>
      <c r="J17" s="1" t="s">
        <v>26</v>
      </c>
      <c r="K17" s="1" t="s">
        <v>26</v>
      </c>
      <c r="L17" s="1">
        <v>0.18099999999999999</v>
      </c>
      <c r="M17" s="1">
        <v>0.109</v>
      </c>
      <c r="O17" s="1" t="s">
        <v>30</v>
      </c>
      <c r="P17" s="1" t="s">
        <v>69</v>
      </c>
    </row>
    <row r="18" spans="1:16" x14ac:dyDescent="0.35">
      <c r="A18" s="1" t="s">
        <v>70</v>
      </c>
      <c r="B18" s="6">
        <v>1</v>
      </c>
      <c r="C18" s="1" t="s">
        <v>25</v>
      </c>
      <c r="D18" s="1" t="s">
        <v>26</v>
      </c>
      <c r="E18" s="1">
        <v>1</v>
      </c>
      <c r="F18" s="1">
        <v>12</v>
      </c>
      <c r="G18" s="1" t="s">
        <v>27</v>
      </c>
      <c r="H18" s="1" t="s">
        <v>26</v>
      </c>
      <c r="I18" s="1">
        <v>2.7469999999999999</v>
      </c>
      <c r="J18" s="1">
        <v>5.1980000000000004</v>
      </c>
      <c r="K18" s="1">
        <v>5.1619999999999999</v>
      </c>
      <c r="L18" s="1">
        <v>0.57899999999999996</v>
      </c>
      <c r="M18" s="1">
        <v>0.71399999999999997</v>
      </c>
      <c r="N18" s="1" t="s">
        <v>72</v>
      </c>
      <c r="O18" s="1" t="s">
        <v>30</v>
      </c>
      <c r="P18" s="1"/>
    </row>
    <row r="19" spans="1:16" x14ac:dyDescent="0.35">
      <c r="A19" s="1" t="s">
        <v>73</v>
      </c>
      <c r="B19" s="6">
        <v>1</v>
      </c>
      <c r="C19" s="1" t="s">
        <v>32</v>
      </c>
      <c r="D19" s="1" t="s">
        <v>33</v>
      </c>
      <c r="E19" s="1">
        <v>1</v>
      </c>
      <c r="F19" s="1">
        <v>13</v>
      </c>
      <c r="G19" s="1" t="s">
        <v>27</v>
      </c>
      <c r="H19" s="1" t="s">
        <v>26</v>
      </c>
      <c r="I19" s="1">
        <v>0.65900000000000003</v>
      </c>
      <c r="J19" s="1">
        <v>2.403</v>
      </c>
      <c r="K19" s="1" t="s">
        <v>26</v>
      </c>
      <c r="L19" s="1">
        <v>0.19400000000000001</v>
      </c>
      <c r="M19" s="1">
        <v>0.109</v>
      </c>
      <c r="O19" s="1" t="s">
        <v>30</v>
      </c>
      <c r="P19" s="1" t="s">
        <v>65</v>
      </c>
    </row>
    <row r="20" spans="1:16" x14ac:dyDescent="0.35">
      <c r="A20" s="1" t="s">
        <v>74</v>
      </c>
      <c r="B20" s="6">
        <v>1</v>
      </c>
      <c r="C20" s="1" t="s">
        <v>25</v>
      </c>
      <c r="D20" s="1" t="s">
        <v>26</v>
      </c>
      <c r="E20" s="1">
        <v>1</v>
      </c>
      <c r="F20" s="1">
        <v>13</v>
      </c>
      <c r="G20" s="1" t="s">
        <v>27</v>
      </c>
      <c r="H20" s="1" t="s">
        <v>26</v>
      </c>
      <c r="I20" s="1">
        <v>2.472</v>
      </c>
      <c r="J20" s="1">
        <v>5.63</v>
      </c>
      <c r="K20" s="1">
        <v>5.6059999999999999</v>
      </c>
      <c r="L20" s="1">
        <v>0.58699999999999997</v>
      </c>
      <c r="M20" s="1">
        <v>0.58299999999999996</v>
      </c>
      <c r="N20" s="1" t="s">
        <v>76</v>
      </c>
      <c r="O20" s="1" t="s">
        <v>30</v>
      </c>
      <c r="P20" s="1"/>
    </row>
    <row r="21" spans="1:16" x14ac:dyDescent="0.35">
      <c r="A21" s="1" t="s">
        <v>77</v>
      </c>
      <c r="B21" s="6">
        <v>1</v>
      </c>
      <c r="C21" s="1" t="s">
        <v>25</v>
      </c>
      <c r="D21" s="1" t="s">
        <v>26</v>
      </c>
      <c r="E21" s="1">
        <v>2</v>
      </c>
      <c r="F21" s="1">
        <v>14</v>
      </c>
      <c r="G21" s="1" t="s">
        <v>27</v>
      </c>
      <c r="H21" s="1" t="s">
        <v>26</v>
      </c>
      <c r="I21" s="1">
        <v>2.4710000000000001</v>
      </c>
      <c r="J21" s="1" t="s">
        <v>26</v>
      </c>
      <c r="K21" s="1">
        <v>4.9219999999999997</v>
      </c>
      <c r="L21" s="1">
        <v>0.52600000000000002</v>
      </c>
      <c r="M21" s="1">
        <v>0.623</v>
      </c>
      <c r="O21" s="1" t="s">
        <v>30</v>
      </c>
      <c r="P21" s="1" t="s">
        <v>55</v>
      </c>
    </row>
    <row r="22" spans="1:16" x14ac:dyDescent="0.35">
      <c r="A22" s="1" t="s">
        <v>79</v>
      </c>
      <c r="B22" s="6">
        <v>1</v>
      </c>
      <c r="C22" s="1" t="s">
        <v>32</v>
      </c>
      <c r="D22" s="1" t="s">
        <v>33</v>
      </c>
      <c r="E22" s="1">
        <v>2</v>
      </c>
      <c r="F22" s="1">
        <v>14</v>
      </c>
      <c r="G22" s="1" t="s">
        <v>27</v>
      </c>
      <c r="H22" s="1" t="s">
        <v>26</v>
      </c>
      <c r="I22" s="1">
        <v>0.628</v>
      </c>
      <c r="J22" s="1" t="s">
        <v>26</v>
      </c>
      <c r="K22" s="1">
        <v>2.0659999999999998</v>
      </c>
      <c r="L22" s="1">
        <v>0.183</v>
      </c>
      <c r="M22" s="1">
        <v>0.115</v>
      </c>
      <c r="O22" s="1" t="s">
        <v>30</v>
      </c>
      <c r="P22" s="1"/>
    </row>
    <row r="23" spans="1:16" x14ac:dyDescent="0.35">
      <c r="A23" s="1" t="s">
        <v>80</v>
      </c>
      <c r="B23" s="6">
        <v>1</v>
      </c>
      <c r="C23" s="1" t="s">
        <v>25</v>
      </c>
      <c r="D23" s="1" t="s">
        <v>26</v>
      </c>
      <c r="E23" s="1">
        <v>2</v>
      </c>
      <c r="F23" s="1">
        <v>15</v>
      </c>
      <c r="G23" s="1" t="s">
        <v>27</v>
      </c>
      <c r="H23" s="1" t="s">
        <v>26</v>
      </c>
      <c r="I23" s="1">
        <v>2.69</v>
      </c>
      <c r="J23" s="1">
        <v>5.1100000000000003</v>
      </c>
      <c r="K23" s="1">
        <v>5.25</v>
      </c>
      <c r="L23" s="1">
        <v>0.55400000000000005</v>
      </c>
      <c r="M23" s="1">
        <v>0.65400000000000003</v>
      </c>
      <c r="N23" s="1" t="s">
        <v>82</v>
      </c>
      <c r="O23" s="1" t="s">
        <v>30</v>
      </c>
      <c r="P23" s="1" t="s">
        <v>55</v>
      </c>
    </row>
    <row r="24" spans="1:16" x14ac:dyDescent="0.35">
      <c r="A24" s="1" t="s">
        <v>83</v>
      </c>
      <c r="B24" s="6">
        <v>1</v>
      </c>
      <c r="C24" s="1" t="s">
        <v>25</v>
      </c>
      <c r="D24" s="1" t="s">
        <v>26</v>
      </c>
      <c r="E24" s="1">
        <v>2</v>
      </c>
      <c r="F24" s="1">
        <v>16</v>
      </c>
      <c r="G24" s="1" t="s">
        <v>27</v>
      </c>
      <c r="H24" s="1" t="s">
        <v>26</v>
      </c>
      <c r="I24" s="1">
        <v>2.456</v>
      </c>
      <c r="J24" s="1">
        <v>4.423</v>
      </c>
      <c r="K24" s="1">
        <v>4.8259999999999996</v>
      </c>
      <c r="L24" s="1">
        <v>0.53200000000000003</v>
      </c>
      <c r="M24" s="1">
        <v>0.60399999999999998</v>
      </c>
      <c r="O24" s="1" t="s">
        <v>30</v>
      </c>
      <c r="P24" s="1"/>
    </row>
    <row r="25" spans="1:16" x14ac:dyDescent="0.35">
      <c r="A25" s="1" t="s">
        <v>85</v>
      </c>
      <c r="B25" s="6">
        <v>1</v>
      </c>
      <c r="C25" s="1" t="s">
        <v>25</v>
      </c>
      <c r="D25" s="1" t="s">
        <v>26</v>
      </c>
      <c r="E25" s="1">
        <v>3</v>
      </c>
      <c r="F25" s="1">
        <v>17</v>
      </c>
      <c r="G25" s="1" t="s">
        <v>38</v>
      </c>
      <c r="H25" s="1">
        <v>2</v>
      </c>
      <c r="I25" s="1">
        <v>2.33</v>
      </c>
      <c r="J25" s="1">
        <v>5.0510000000000002</v>
      </c>
      <c r="K25" s="1">
        <v>5.0090000000000003</v>
      </c>
      <c r="L25" s="1">
        <v>0.48399999999999999</v>
      </c>
      <c r="M25" s="1">
        <v>0.53700000000000003</v>
      </c>
      <c r="O25" s="1" t="s">
        <v>30</v>
      </c>
      <c r="P25" s="1" t="s">
        <v>55</v>
      </c>
    </row>
    <row r="26" spans="1:16" x14ac:dyDescent="0.35">
      <c r="A26" s="1" t="s">
        <v>87</v>
      </c>
      <c r="B26" s="6">
        <v>1</v>
      </c>
      <c r="C26" s="1" t="s">
        <v>25</v>
      </c>
      <c r="D26" s="1" t="s">
        <v>26</v>
      </c>
      <c r="E26" s="1">
        <v>3</v>
      </c>
      <c r="F26" s="1">
        <v>18</v>
      </c>
      <c r="G26" s="1" t="s">
        <v>38</v>
      </c>
      <c r="H26" s="1">
        <v>2</v>
      </c>
      <c r="I26" s="1">
        <v>1.9410000000000001</v>
      </c>
      <c r="J26" s="1">
        <v>3.8220000000000001</v>
      </c>
      <c r="K26" s="1">
        <v>3.79</v>
      </c>
      <c r="L26" s="1">
        <v>0.38600000000000001</v>
      </c>
      <c r="M26" s="1">
        <v>0.498</v>
      </c>
      <c r="O26" s="1" t="s">
        <v>30</v>
      </c>
      <c r="P26" s="1"/>
    </row>
    <row r="27" spans="1:16" x14ac:dyDescent="0.35">
      <c r="A27" s="1" t="s">
        <v>89</v>
      </c>
      <c r="B27" s="6">
        <v>1</v>
      </c>
      <c r="C27" s="1" t="s">
        <v>32</v>
      </c>
      <c r="D27" s="1" t="s">
        <v>33</v>
      </c>
      <c r="E27" s="1">
        <v>3</v>
      </c>
      <c r="F27" s="1">
        <v>19</v>
      </c>
      <c r="G27" s="1" t="s">
        <v>38</v>
      </c>
      <c r="H27" s="1">
        <v>2</v>
      </c>
      <c r="I27" s="1">
        <v>0.89900000000000002</v>
      </c>
      <c r="J27" s="1" t="s">
        <v>26</v>
      </c>
      <c r="K27" s="1">
        <v>3.3969999999999998</v>
      </c>
      <c r="L27" s="1">
        <v>0.26</v>
      </c>
      <c r="M27" s="1">
        <v>0.17699999999999999</v>
      </c>
      <c r="O27" s="1" t="s">
        <v>30</v>
      </c>
      <c r="P27" s="1" t="s">
        <v>57</v>
      </c>
    </row>
    <row r="28" spans="1:16" x14ac:dyDescent="0.35">
      <c r="A28" s="1" t="s">
        <v>90</v>
      </c>
      <c r="B28" s="6">
        <v>1</v>
      </c>
      <c r="C28" s="1" t="s">
        <v>25</v>
      </c>
      <c r="D28" s="1" t="s">
        <v>26</v>
      </c>
      <c r="E28" s="1">
        <v>3</v>
      </c>
      <c r="F28" s="1">
        <v>19</v>
      </c>
      <c r="G28" s="1" t="s">
        <v>38</v>
      </c>
      <c r="H28" s="1">
        <v>2</v>
      </c>
      <c r="I28" s="1">
        <v>2.7850000000000001</v>
      </c>
      <c r="J28" s="1">
        <v>5.3390000000000004</v>
      </c>
      <c r="K28" s="1">
        <v>5.38</v>
      </c>
      <c r="L28" s="1">
        <v>0.55900000000000005</v>
      </c>
      <c r="M28" s="1">
        <v>0.72899999999999998</v>
      </c>
      <c r="O28" s="1" t="s">
        <v>30</v>
      </c>
      <c r="P28" s="1"/>
    </row>
    <row r="29" spans="1:16" x14ac:dyDescent="0.35">
      <c r="A29" s="1" t="s">
        <v>92</v>
      </c>
      <c r="B29" s="6">
        <v>1</v>
      </c>
      <c r="C29" s="1" t="s">
        <v>32</v>
      </c>
      <c r="D29" s="1" t="s">
        <v>33</v>
      </c>
      <c r="E29" s="1">
        <v>3</v>
      </c>
      <c r="F29" s="1">
        <v>20</v>
      </c>
      <c r="G29" s="1" t="s">
        <v>38</v>
      </c>
      <c r="H29" s="1">
        <v>2</v>
      </c>
      <c r="I29" s="1">
        <v>0.54100000000000004</v>
      </c>
      <c r="J29" s="1">
        <v>1.9450000000000001</v>
      </c>
      <c r="K29" s="1" t="s">
        <v>26</v>
      </c>
      <c r="L29" s="1">
        <v>0.14499999999999999</v>
      </c>
      <c r="M29" s="1">
        <v>0.106</v>
      </c>
      <c r="O29" s="1" t="s">
        <v>30</v>
      </c>
      <c r="P29" s="1" t="s">
        <v>65</v>
      </c>
    </row>
    <row r="30" spans="1:16" x14ac:dyDescent="0.35">
      <c r="A30" s="1" t="s">
        <v>93</v>
      </c>
      <c r="B30" s="6">
        <v>1</v>
      </c>
      <c r="C30" s="1" t="s">
        <v>25</v>
      </c>
      <c r="D30" s="1" t="s">
        <v>26</v>
      </c>
      <c r="E30" s="1">
        <v>3</v>
      </c>
      <c r="F30" s="1">
        <v>20</v>
      </c>
      <c r="G30" s="1" t="s">
        <v>38</v>
      </c>
      <c r="H30" s="1">
        <v>2</v>
      </c>
      <c r="I30" s="1">
        <v>2.4089999999999998</v>
      </c>
      <c r="J30" s="1">
        <v>5.1470000000000002</v>
      </c>
      <c r="K30" s="1">
        <v>5.282</v>
      </c>
      <c r="L30" s="1">
        <v>0.57899999999999996</v>
      </c>
      <c r="M30" s="1">
        <v>0.48799999999999999</v>
      </c>
      <c r="O30" s="1" t="s">
        <v>30</v>
      </c>
      <c r="P30" s="1"/>
    </row>
    <row r="31" spans="1:16" x14ac:dyDescent="0.35">
      <c r="A31" s="1" t="s">
        <v>95</v>
      </c>
      <c r="B31" s="6">
        <v>1</v>
      </c>
      <c r="C31" s="1" t="s">
        <v>25</v>
      </c>
      <c r="D31" s="1" t="s">
        <v>26</v>
      </c>
      <c r="E31" s="1">
        <v>3</v>
      </c>
      <c r="F31" s="1">
        <v>21</v>
      </c>
      <c r="G31" s="1" t="s">
        <v>38</v>
      </c>
      <c r="H31" s="1">
        <v>2</v>
      </c>
      <c r="I31" s="1">
        <v>2.4359999999999999</v>
      </c>
      <c r="J31" s="1">
        <v>4.6749999999999998</v>
      </c>
      <c r="K31" s="1">
        <v>4.68</v>
      </c>
      <c r="L31" s="1">
        <v>0.495</v>
      </c>
      <c r="M31" s="1">
        <v>0.63900000000000001</v>
      </c>
      <c r="O31" s="1" t="s">
        <v>30</v>
      </c>
      <c r="P31" s="1"/>
    </row>
    <row r="32" spans="1:16" x14ac:dyDescent="0.35">
      <c r="A32" s="1" t="s">
        <v>97</v>
      </c>
      <c r="B32" s="6">
        <v>1</v>
      </c>
      <c r="C32" s="1" t="s">
        <v>25</v>
      </c>
      <c r="D32" s="1" t="s">
        <v>26</v>
      </c>
      <c r="E32" s="1">
        <v>3</v>
      </c>
      <c r="F32" s="1">
        <v>22</v>
      </c>
      <c r="G32" s="1" t="s">
        <v>38</v>
      </c>
      <c r="H32" s="1">
        <v>2</v>
      </c>
      <c r="I32" s="1">
        <v>2.3570000000000002</v>
      </c>
      <c r="J32" s="1">
        <v>4.4610000000000003</v>
      </c>
      <c r="K32" s="1">
        <v>4.3339999999999996</v>
      </c>
      <c r="L32" s="1">
        <v>0.502</v>
      </c>
      <c r="M32" s="1">
        <v>0.51200000000000001</v>
      </c>
      <c r="N32" s="1" t="s">
        <v>99</v>
      </c>
      <c r="O32" s="1" t="s">
        <v>30</v>
      </c>
      <c r="P32" s="1" t="s">
        <v>55</v>
      </c>
    </row>
    <row r="33" spans="1:16" x14ac:dyDescent="0.35">
      <c r="A33" s="1" t="s">
        <v>100</v>
      </c>
      <c r="B33" s="6">
        <v>1</v>
      </c>
      <c r="C33" s="1" t="s">
        <v>25</v>
      </c>
      <c r="D33" s="1" t="s">
        <v>26</v>
      </c>
      <c r="E33" s="1">
        <v>3</v>
      </c>
      <c r="F33" s="1">
        <v>23</v>
      </c>
      <c r="G33" s="1" t="s">
        <v>38</v>
      </c>
      <c r="H33" s="1">
        <v>2</v>
      </c>
      <c r="I33" s="1">
        <v>2.8279999999999998</v>
      </c>
      <c r="J33" s="1">
        <v>5.6390000000000002</v>
      </c>
      <c r="K33" s="1">
        <v>5.6719999999999997</v>
      </c>
      <c r="L33" s="1">
        <v>0.58799999999999997</v>
      </c>
      <c r="M33" s="1">
        <v>0.83899999999999997</v>
      </c>
      <c r="N33" s="1" t="s">
        <v>102</v>
      </c>
      <c r="O33" s="1" t="s">
        <v>30</v>
      </c>
      <c r="P33" s="1"/>
    </row>
    <row r="34" spans="1:16" x14ac:dyDescent="0.35">
      <c r="A34" s="1" t="s">
        <v>103</v>
      </c>
      <c r="B34" s="6">
        <v>1</v>
      </c>
      <c r="C34" s="1" t="s">
        <v>25</v>
      </c>
      <c r="D34" s="1" t="s">
        <v>26</v>
      </c>
      <c r="E34" s="1">
        <v>3</v>
      </c>
      <c r="F34" s="1">
        <v>24</v>
      </c>
      <c r="G34" s="1" t="s">
        <v>38</v>
      </c>
      <c r="H34" s="1">
        <v>2</v>
      </c>
      <c r="I34" s="1">
        <v>2.1789999999999998</v>
      </c>
      <c r="J34" s="1" t="s">
        <v>26</v>
      </c>
      <c r="K34" s="1">
        <v>4.6390000000000002</v>
      </c>
      <c r="L34" s="1">
        <v>0.51300000000000001</v>
      </c>
      <c r="M34" s="1">
        <v>0.42499999999999999</v>
      </c>
      <c r="O34" s="1" t="s">
        <v>30</v>
      </c>
      <c r="P34" s="1"/>
    </row>
    <row r="35" spans="1:16" x14ac:dyDescent="0.35">
      <c r="A35" s="1" t="s">
        <v>105</v>
      </c>
      <c r="B35" s="6">
        <v>1</v>
      </c>
      <c r="C35" s="1" t="s">
        <v>25</v>
      </c>
      <c r="D35" s="1" t="s">
        <v>26</v>
      </c>
      <c r="E35" s="1">
        <v>3</v>
      </c>
      <c r="F35" s="1">
        <v>25</v>
      </c>
      <c r="G35" s="1" t="s">
        <v>38</v>
      </c>
      <c r="H35" s="1">
        <v>2</v>
      </c>
      <c r="I35" s="1">
        <v>2.6930000000000001</v>
      </c>
      <c r="J35" s="1">
        <v>5.7969999999999997</v>
      </c>
      <c r="K35" s="1" t="s">
        <v>26</v>
      </c>
      <c r="L35" s="1">
        <v>0.58499999999999996</v>
      </c>
      <c r="M35" s="1">
        <v>0.55100000000000005</v>
      </c>
      <c r="O35" s="1" t="s">
        <v>30</v>
      </c>
      <c r="P35" s="1"/>
    </row>
    <row r="36" spans="1:16" x14ac:dyDescent="0.35">
      <c r="A36" s="1" t="s">
        <v>107</v>
      </c>
      <c r="B36" s="6">
        <v>1</v>
      </c>
      <c r="C36" s="1" t="s">
        <v>25</v>
      </c>
      <c r="D36" s="1" t="s">
        <v>26</v>
      </c>
      <c r="E36" s="1">
        <v>3</v>
      </c>
      <c r="F36" s="1">
        <v>26</v>
      </c>
      <c r="G36" s="1" t="s">
        <v>38</v>
      </c>
      <c r="H36" s="1">
        <v>2</v>
      </c>
      <c r="I36" s="1">
        <v>2.3929999999999998</v>
      </c>
      <c r="J36" s="1">
        <v>4.7130000000000001</v>
      </c>
      <c r="K36" s="1">
        <v>4.6500000000000004</v>
      </c>
      <c r="L36" s="1">
        <v>0.47899999999999998</v>
      </c>
      <c r="M36" s="1">
        <v>0.60899999999999999</v>
      </c>
      <c r="O36" s="1" t="s">
        <v>30</v>
      </c>
      <c r="P36" s="1"/>
    </row>
    <row r="37" spans="1:16" x14ac:dyDescent="0.35">
      <c r="A37" s="1" t="s">
        <v>109</v>
      </c>
      <c r="B37" s="6">
        <v>1</v>
      </c>
      <c r="C37" s="1" t="s">
        <v>25</v>
      </c>
      <c r="D37" s="1" t="s">
        <v>26</v>
      </c>
      <c r="E37" s="1">
        <v>3</v>
      </c>
      <c r="F37" s="1">
        <v>27</v>
      </c>
      <c r="G37" s="1" t="s">
        <v>38</v>
      </c>
      <c r="H37" s="1">
        <v>2</v>
      </c>
      <c r="I37" s="1">
        <v>2.4620000000000002</v>
      </c>
      <c r="J37" s="1">
        <v>5.5659999999999998</v>
      </c>
      <c r="K37" s="1">
        <v>5.4240000000000004</v>
      </c>
      <c r="L37" s="1">
        <v>0.59099999999999997</v>
      </c>
      <c r="M37" s="1">
        <v>0.58299999999999996</v>
      </c>
      <c r="O37" s="1" t="s">
        <v>30</v>
      </c>
      <c r="P37" s="1" t="s">
        <v>55</v>
      </c>
    </row>
    <row r="38" spans="1:16" x14ac:dyDescent="0.35">
      <c r="A38" s="1" t="s">
        <v>111</v>
      </c>
      <c r="B38" s="6">
        <v>1</v>
      </c>
      <c r="C38" s="1" t="s">
        <v>25</v>
      </c>
      <c r="D38" s="1" t="s">
        <v>26</v>
      </c>
      <c r="E38" s="1">
        <v>3</v>
      </c>
      <c r="F38" s="1">
        <v>28</v>
      </c>
      <c r="G38" s="1" t="s">
        <v>38</v>
      </c>
      <c r="H38" s="1">
        <v>2</v>
      </c>
      <c r="I38" s="1">
        <v>2.218</v>
      </c>
      <c r="J38" s="1">
        <v>4.0430000000000001</v>
      </c>
      <c r="K38" s="1">
        <v>4.57</v>
      </c>
      <c r="L38" s="1">
        <v>0.49199999999999999</v>
      </c>
      <c r="M38" s="1">
        <v>0.55300000000000005</v>
      </c>
      <c r="O38" s="1" t="s">
        <v>30</v>
      </c>
      <c r="P38" s="1"/>
    </row>
    <row r="39" spans="1:16" x14ac:dyDescent="0.35">
      <c r="A39" s="1" t="s">
        <v>113</v>
      </c>
      <c r="B39" s="6">
        <v>1</v>
      </c>
      <c r="C39" s="1" t="s">
        <v>25</v>
      </c>
      <c r="D39" s="1" t="s">
        <v>26</v>
      </c>
      <c r="E39" s="1">
        <v>3</v>
      </c>
      <c r="F39" s="1">
        <v>29</v>
      </c>
      <c r="G39" s="1" t="s">
        <v>38</v>
      </c>
      <c r="H39" s="1">
        <v>2</v>
      </c>
      <c r="I39" s="1">
        <v>2.2509999999999999</v>
      </c>
      <c r="J39" s="1">
        <v>4.7190000000000003</v>
      </c>
      <c r="K39" s="1">
        <v>4.7190000000000003</v>
      </c>
      <c r="L39" s="1">
        <v>0.46400000000000002</v>
      </c>
      <c r="M39" s="1">
        <v>0.56699999999999995</v>
      </c>
      <c r="O39" s="1" t="s">
        <v>30</v>
      </c>
      <c r="P39" s="1"/>
    </row>
    <row r="40" spans="1:16" x14ac:dyDescent="0.35">
      <c r="A40" s="1" t="s">
        <v>115</v>
      </c>
      <c r="B40" s="6">
        <v>1</v>
      </c>
      <c r="C40" s="1" t="s">
        <v>32</v>
      </c>
      <c r="D40" s="1" t="s">
        <v>33</v>
      </c>
      <c r="E40" s="1" t="s">
        <v>117</v>
      </c>
      <c r="F40" s="1">
        <v>30</v>
      </c>
      <c r="G40" s="1" t="s">
        <v>38</v>
      </c>
      <c r="H40" s="1">
        <v>3</v>
      </c>
      <c r="I40" s="1">
        <v>0.51100000000000001</v>
      </c>
      <c r="J40" s="1">
        <v>1.613</v>
      </c>
      <c r="K40" s="1">
        <v>1.7010000000000001</v>
      </c>
      <c r="L40" s="1">
        <v>0.182</v>
      </c>
      <c r="M40" s="1">
        <v>0.121</v>
      </c>
      <c r="P40" s="1"/>
    </row>
    <row r="41" spans="1:16" x14ac:dyDescent="0.35">
      <c r="A41" s="1" t="s">
        <v>118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30</v>
      </c>
      <c r="G41" s="1" t="s">
        <v>38</v>
      </c>
      <c r="H41" s="1">
        <v>3</v>
      </c>
      <c r="I41" s="1">
        <v>2.1240000000000001</v>
      </c>
      <c r="J41" s="1">
        <v>5.1260000000000003</v>
      </c>
      <c r="K41" s="1">
        <v>5.1980000000000004</v>
      </c>
      <c r="L41" s="1">
        <v>0.54</v>
      </c>
      <c r="M41" s="1">
        <v>0.47199999999999998</v>
      </c>
      <c r="P41" s="1"/>
    </row>
    <row r="42" spans="1:16" x14ac:dyDescent="0.35">
      <c r="A42" s="1" t="s">
        <v>123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31</v>
      </c>
      <c r="G42" s="1" t="s">
        <v>38</v>
      </c>
      <c r="H42" s="1">
        <v>3</v>
      </c>
      <c r="I42" s="1">
        <v>2.391</v>
      </c>
      <c r="J42" s="1">
        <v>5.101</v>
      </c>
      <c r="K42" s="1">
        <v>5.0190000000000001</v>
      </c>
      <c r="L42" s="1">
        <v>0.52</v>
      </c>
      <c r="M42" s="1">
        <v>0.54200000000000004</v>
      </c>
      <c r="N42" s="1" t="s">
        <v>125</v>
      </c>
      <c r="P42" s="1"/>
    </row>
    <row r="43" spans="1:16" x14ac:dyDescent="0.35">
      <c r="A43" s="1" t="s">
        <v>126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32</v>
      </c>
      <c r="G43" s="1" t="s">
        <v>38</v>
      </c>
      <c r="H43" s="1">
        <v>3</v>
      </c>
      <c r="I43" s="1">
        <v>2.6659999999999999</v>
      </c>
      <c r="J43" s="1">
        <v>4.2110000000000003</v>
      </c>
      <c r="K43" s="1">
        <v>4.21</v>
      </c>
      <c r="L43" s="1">
        <v>0.56899999999999995</v>
      </c>
      <c r="M43" s="1">
        <v>0.55100000000000005</v>
      </c>
      <c r="P43" s="1" t="s">
        <v>55</v>
      </c>
    </row>
    <row r="44" spans="1:16" x14ac:dyDescent="0.35">
      <c r="A44" s="1" t="s">
        <v>128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33</v>
      </c>
      <c r="G44" s="1" t="s">
        <v>38</v>
      </c>
      <c r="H44" s="1">
        <v>3</v>
      </c>
      <c r="I44" s="1">
        <v>2.1960000000000002</v>
      </c>
      <c r="J44" s="1">
        <v>4.5979999999999999</v>
      </c>
      <c r="K44" s="1">
        <v>4.6369999999999996</v>
      </c>
      <c r="L44" s="1">
        <v>0.48599999999999999</v>
      </c>
      <c r="M44" s="1">
        <v>0.46400000000000002</v>
      </c>
      <c r="P44" s="1"/>
    </row>
    <row r="45" spans="1:16" x14ac:dyDescent="0.35">
      <c r="A45" s="1" t="s">
        <v>130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34</v>
      </c>
      <c r="G45" s="1" t="s">
        <v>38</v>
      </c>
      <c r="H45" s="1">
        <v>3</v>
      </c>
      <c r="I45" s="1">
        <v>1.782</v>
      </c>
      <c r="J45" s="1">
        <v>3.8620000000000001</v>
      </c>
      <c r="K45" s="1">
        <v>3.8479999999999999</v>
      </c>
      <c r="L45" s="1">
        <v>0.42499999999999999</v>
      </c>
      <c r="M45" s="1">
        <v>0.44400000000000001</v>
      </c>
      <c r="P45" s="1" t="s">
        <v>55</v>
      </c>
    </row>
    <row r="46" spans="1:16" x14ac:dyDescent="0.35">
      <c r="A46" s="1" t="s">
        <v>132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35</v>
      </c>
      <c r="G46" s="1" t="s">
        <v>38</v>
      </c>
      <c r="H46" s="1">
        <v>3</v>
      </c>
      <c r="I46" s="1">
        <v>2.6680000000000001</v>
      </c>
      <c r="J46" s="1">
        <v>6.0640000000000001</v>
      </c>
      <c r="K46" s="1">
        <v>6.0629999999999997</v>
      </c>
      <c r="L46" s="1">
        <v>0.61699999999999999</v>
      </c>
      <c r="M46" s="1">
        <v>0.48299999999999998</v>
      </c>
      <c r="P46" s="1" t="s">
        <v>55</v>
      </c>
    </row>
    <row r="47" spans="1:16" x14ac:dyDescent="0.35">
      <c r="A47" s="1" t="s">
        <v>134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36</v>
      </c>
      <c r="G47" s="1" t="s">
        <v>38</v>
      </c>
      <c r="H47" s="1">
        <v>3</v>
      </c>
      <c r="I47" s="1">
        <v>2.2040000000000002</v>
      </c>
      <c r="J47" s="1">
        <v>4.9630000000000001</v>
      </c>
      <c r="K47" s="1">
        <v>4.5540000000000003</v>
      </c>
      <c r="L47" s="1">
        <v>0.55400000000000005</v>
      </c>
      <c r="M47" s="1">
        <v>0.499</v>
      </c>
      <c r="P47" s="1" t="s">
        <v>55</v>
      </c>
    </row>
    <row r="48" spans="1:16" x14ac:dyDescent="0.35">
      <c r="A48" s="1" t="s">
        <v>136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37</v>
      </c>
      <c r="G48" s="1" t="s">
        <v>38</v>
      </c>
      <c r="H48" s="1">
        <v>3</v>
      </c>
      <c r="I48" s="1">
        <v>2.7719999999999998</v>
      </c>
      <c r="J48" s="1">
        <v>5.7229999999999999</v>
      </c>
      <c r="K48" s="1">
        <v>5.8890000000000002</v>
      </c>
      <c r="L48" s="1">
        <v>0.59399999999999997</v>
      </c>
      <c r="M48" s="1">
        <v>0.68400000000000005</v>
      </c>
      <c r="N48" s="1" t="s">
        <v>138</v>
      </c>
      <c r="P48" s="1"/>
    </row>
    <row r="49" spans="1:16" x14ac:dyDescent="0.35">
      <c r="A49" s="1" t="s">
        <v>142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38</v>
      </c>
      <c r="G49" s="1" t="s">
        <v>38</v>
      </c>
      <c r="H49" s="1">
        <v>3</v>
      </c>
      <c r="I49" s="1">
        <v>2.5619999999999998</v>
      </c>
      <c r="J49" s="1">
        <v>4.9930000000000003</v>
      </c>
      <c r="K49" s="1">
        <v>4.8780000000000001</v>
      </c>
      <c r="L49" s="1">
        <v>0.56399999999999995</v>
      </c>
      <c r="M49" s="1">
        <v>0.65300000000000002</v>
      </c>
      <c r="N49" s="1" t="s">
        <v>144</v>
      </c>
      <c r="P49" s="1" t="s">
        <v>55</v>
      </c>
    </row>
    <row r="50" spans="1:16" x14ac:dyDescent="0.35">
      <c r="A50" s="1" t="s">
        <v>145</v>
      </c>
      <c r="B50" s="6">
        <v>1</v>
      </c>
      <c r="C50" s="1" t="s">
        <v>25</v>
      </c>
      <c r="D50" s="1" t="s">
        <v>26</v>
      </c>
      <c r="E50" s="1" t="s">
        <v>117</v>
      </c>
      <c r="F50" s="1">
        <v>39</v>
      </c>
      <c r="G50" s="1" t="s">
        <v>38</v>
      </c>
      <c r="H50" s="1">
        <v>3</v>
      </c>
      <c r="I50" s="1">
        <v>2.367</v>
      </c>
      <c r="J50" s="1">
        <v>5.3390000000000004</v>
      </c>
      <c r="K50" s="1">
        <v>5.3070000000000004</v>
      </c>
      <c r="L50" s="1">
        <v>0.62</v>
      </c>
      <c r="M50" s="1">
        <v>0.53100000000000003</v>
      </c>
      <c r="P50" s="1"/>
    </row>
    <row r="51" spans="1:16" x14ac:dyDescent="0.35">
      <c r="A51" s="1" t="s">
        <v>147</v>
      </c>
      <c r="B51" s="6">
        <v>1</v>
      </c>
      <c r="C51" s="1" t="s">
        <v>25</v>
      </c>
      <c r="D51" s="1" t="s">
        <v>26</v>
      </c>
      <c r="E51" s="1" t="s">
        <v>117</v>
      </c>
      <c r="F51" s="1">
        <v>40</v>
      </c>
      <c r="G51" s="1" t="s">
        <v>38</v>
      </c>
      <c r="H51" s="1">
        <v>3</v>
      </c>
      <c r="I51" s="1">
        <v>2.3340000000000001</v>
      </c>
      <c r="J51" s="1">
        <v>5.2560000000000002</v>
      </c>
      <c r="K51" s="1">
        <v>5.0960000000000001</v>
      </c>
      <c r="L51" s="1">
        <v>0.47599999999999998</v>
      </c>
      <c r="M51" s="1">
        <v>0.44800000000000001</v>
      </c>
      <c r="P51" s="1" t="s">
        <v>55</v>
      </c>
    </row>
    <row r="52" spans="1:16" x14ac:dyDescent="0.35">
      <c r="A52" s="1" t="s">
        <v>149</v>
      </c>
      <c r="B52" s="6">
        <v>1</v>
      </c>
      <c r="C52" s="1" t="s">
        <v>25</v>
      </c>
      <c r="D52" s="1" t="s">
        <v>26</v>
      </c>
      <c r="E52" s="1" t="s">
        <v>117</v>
      </c>
      <c r="F52" s="1">
        <v>41</v>
      </c>
      <c r="G52" s="1" t="s">
        <v>38</v>
      </c>
      <c r="H52" s="1">
        <v>3</v>
      </c>
      <c r="I52" s="1">
        <v>2.6349999999999998</v>
      </c>
      <c r="J52" s="1">
        <v>5.8120000000000003</v>
      </c>
      <c r="K52" s="1">
        <v>6.0869999999999997</v>
      </c>
      <c r="L52" s="1">
        <v>0.55700000000000005</v>
      </c>
      <c r="M52" s="1">
        <v>0.59599999999999997</v>
      </c>
      <c r="P52" s="1" t="s">
        <v>55</v>
      </c>
    </row>
    <row r="53" spans="1:16" x14ac:dyDescent="0.35">
      <c r="A53" s="1" t="s">
        <v>151</v>
      </c>
      <c r="B53" s="6">
        <v>1</v>
      </c>
      <c r="C53" s="1" t="s">
        <v>25</v>
      </c>
      <c r="D53" s="1" t="s">
        <v>26</v>
      </c>
      <c r="E53" s="1" t="s">
        <v>117</v>
      </c>
      <c r="F53" s="1">
        <v>42</v>
      </c>
      <c r="G53" s="1" t="s">
        <v>38</v>
      </c>
      <c r="H53" s="1">
        <v>3</v>
      </c>
      <c r="I53" s="1">
        <v>2.5619999999999998</v>
      </c>
      <c r="J53" s="1">
        <v>5.641</v>
      </c>
      <c r="K53" s="1">
        <v>5.6849999999999996</v>
      </c>
      <c r="L53" s="1">
        <v>0.63300000000000001</v>
      </c>
      <c r="M53" s="1">
        <v>0.46</v>
      </c>
      <c r="P53" s="1" t="s">
        <v>55</v>
      </c>
    </row>
    <row r="54" spans="1:16" x14ac:dyDescent="0.35">
      <c r="A54" s="1" t="s">
        <v>153</v>
      </c>
      <c r="B54" s="6">
        <v>1</v>
      </c>
      <c r="C54" s="1" t="s">
        <v>25</v>
      </c>
      <c r="D54" s="1" t="s">
        <v>26</v>
      </c>
      <c r="E54" s="1" t="s">
        <v>117</v>
      </c>
      <c r="F54" s="1">
        <v>43</v>
      </c>
      <c r="G54" s="1" t="s">
        <v>38</v>
      </c>
      <c r="H54" s="1">
        <v>3</v>
      </c>
      <c r="I54" s="1">
        <v>2.508</v>
      </c>
      <c r="J54" s="1">
        <v>5.0670000000000002</v>
      </c>
      <c r="K54" s="1">
        <v>5.1760000000000002</v>
      </c>
      <c r="L54" s="1">
        <v>0.54500000000000004</v>
      </c>
      <c r="M54" s="1">
        <v>0.61899999999999999</v>
      </c>
      <c r="P54" s="1"/>
    </row>
    <row r="55" spans="1:16" x14ac:dyDescent="0.35">
      <c r="A55" s="1" t="s">
        <v>155</v>
      </c>
      <c r="B55" s="6">
        <v>1</v>
      </c>
      <c r="C55" s="1" t="s">
        <v>25</v>
      </c>
      <c r="D55" s="1" t="s">
        <v>26</v>
      </c>
      <c r="E55" s="1" t="s">
        <v>117</v>
      </c>
      <c r="F55" s="1">
        <v>44</v>
      </c>
      <c r="G55" s="1" t="s">
        <v>38</v>
      </c>
      <c r="H55" s="1">
        <v>3</v>
      </c>
      <c r="I55" s="1">
        <v>2.35</v>
      </c>
      <c r="J55" s="1">
        <v>4.8029999999999999</v>
      </c>
      <c r="K55" s="1">
        <v>4.8360000000000003</v>
      </c>
      <c r="L55" s="1">
        <v>0.499</v>
      </c>
      <c r="M55" s="1">
        <v>0.54400000000000004</v>
      </c>
      <c r="P55" s="1" t="s">
        <v>157</v>
      </c>
    </row>
    <row r="56" spans="1:16" x14ac:dyDescent="0.35">
      <c r="A56" s="1" t="s">
        <v>158</v>
      </c>
      <c r="B56" s="6">
        <v>1</v>
      </c>
      <c r="C56" s="1" t="s">
        <v>32</v>
      </c>
      <c r="D56" s="1" t="s">
        <v>33</v>
      </c>
      <c r="E56" s="1" t="s">
        <v>117</v>
      </c>
      <c r="F56" s="1">
        <v>45</v>
      </c>
      <c r="G56" s="1" t="s">
        <v>38</v>
      </c>
      <c r="H56" s="1">
        <v>4</v>
      </c>
      <c r="I56" s="1">
        <v>0.65500000000000003</v>
      </c>
      <c r="J56" s="1">
        <v>2.1739999999999999</v>
      </c>
      <c r="K56" s="1" t="s">
        <v>26</v>
      </c>
      <c r="L56" s="1">
        <v>0.17100000000000001</v>
      </c>
      <c r="M56" s="1">
        <v>0.109</v>
      </c>
      <c r="P56" s="1" t="s">
        <v>65</v>
      </c>
    </row>
    <row r="57" spans="1:16" x14ac:dyDescent="0.35">
      <c r="A57" s="1" t="s">
        <v>159</v>
      </c>
      <c r="B57" s="6">
        <v>1</v>
      </c>
      <c r="C57" s="1" t="s">
        <v>32</v>
      </c>
      <c r="D57" s="1" t="s">
        <v>60</v>
      </c>
      <c r="E57" s="1" t="s">
        <v>117</v>
      </c>
      <c r="F57" s="1">
        <v>45</v>
      </c>
      <c r="G57" s="1" t="s">
        <v>38</v>
      </c>
      <c r="H57" s="1">
        <v>4</v>
      </c>
      <c r="I57" s="1">
        <v>0.44800000000000001</v>
      </c>
      <c r="J57" s="1">
        <v>1.5109999999999999</v>
      </c>
      <c r="K57" s="1">
        <v>1.5009999999999999</v>
      </c>
      <c r="L57" s="1">
        <v>0.14399999999999999</v>
      </c>
      <c r="M57" s="1">
        <v>0.10100000000000001</v>
      </c>
      <c r="P57" s="1"/>
    </row>
    <row r="58" spans="1:16" x14ac:dyDescent="0.35">
      <c r="A58" s="1" t="s">
        <v>160</v>
      </c>
      <c r="B58" s="6">
        <v>1</v>
      </c>
      <c r="C58" s="1" t="s">
        <v>25</v>
      </c>
      <c r="D58" s="1" t="s">
        <v>26</v>
      </c>
      <c r="E58" s="1" t="s">
        <v>117</v>
      </c>
      <c r="F58" s="1">
        <v>45</v>
      </c>
      <c r="G58" s="1" t="s">
        <v>38</v>
      </c>
      <c r="H58" s="1">
        <v>4</v>
      </c>
      <c r="I58" s="1">
        <v>1.258</v>
      </c>
      <c r="J58" s="1">
        <v>3.8069999999999999</v>
      </c>
      <c r="K58" s="1">
        <v>3.7719999999999998</v>
      </c>
      <c r="L58" s="1">
        <v>0.35</v>
      </c>
      <c r="M58" s="1">
        <v>0.28499999999999998</v>
      </c>
      <c r="P58" s="1" t="s">
        <v>55</v>
      </c>
    </row>
    <row r="59" spans="1:16" x14ac:dyDescent="0.35">
      <c r="A59" s="1" t="s">
        <v>162</v>
      </c>
      <c r="B59" s="6">
        <v>1</v>
      </c>
      <c r="C59" s="1" t="s">
        <v>32</v>
      </c>
      <c r="D59" s="1" t="s">
        <v>33</v>
      </c>
      <c r="E59" s="1" t="s">
        <v>117</v>
      </c>
      <c r="F59" s="1">
        <v>46</v>
      </c>
      <c r="G59" s="1" t="s">
        <v>38</v>
      </c>
      <c r="H59" s="1">
        <v>4</v>
      </c>
      <c r="I59" s="1">
        <v>0.48799999999999999</v>
      </c>
      <c r="J59" s="1" t="s">
        <v>26</v>
      </c>
      <c r="K59" s="1">
        <v>1.694</v>
      </c>
      <c r="L59" s="1">
        <v>0.16700000000000001</v>
      </c>
      <c r="M59" s="1">
        <v>0.124</v>
      </c>
      <c r="P59" s="1" t="s">
        <v>57</v>
      </c>
    </row>
    <row r="60" spans="1:16" x14ac:dyDescent="0.35">
      <c r="A60" s="1" t="s">
        <v>163</v>
      </c>
      <c r="B60" s="6">
        <v>1</v>
      </c>
      <c r="C60" s="1" t="s">
        <v>25</v>
      </c>
      <c r="D60" s="1" t="s">
        <v>26</v>
      </c>
      <c r="E60" s="1" t="s">
        <v>117</v>
      </c>
      <c r="F60" s="1">
        <v>46</v>
      </c>
      <c r="G60" s="1" t="s">
        <v>38</v>
      </c>
      <c r="H60" s="1">
        <v>4</v>
      </c>
      <c r="I60" s="1">
        <v>2.0310000000000001</v>
      </c>
      <c r="J60" s="1">
        <v>4.4749999999999996</v>
      </c>
      <c r="K60" s="1">
        <v>4.6239999999999997</v>
      </c>
      <c r="L60" s="1">
        <v>0.497</v>
      </c>
      <c r="M60" s="1">
        <v>0.36499999999999999</v>
      </c>
      <c r="P60" s="1"/>
    </row>
    <row r="61" spans="1:16" x14ac:dyDescent="0.35">
      <c r="A61" s="1" t="s">
        <v>165</v>
      </c>
      <c r="B61" s="6">
        <v>1</v>
      </c>
      <c r="C61" s="1" t="s">
        <v>25</v>
      </c>
      <c r="D61" s="1" t="s">
        <v>26</v>
      </c>
      <c r="E61" s="1" t="s">
        <v>117</v>
      </c>
      <c r="F61" s="1">
        <v>47</v>
      </c>
      <c r="G61" s="1" t="s">
        <v>38</v>
      </c>
      <c r="H61" s="1">
        <v>4</v>
      </c>
      <c r="I61" s="1">
        <v>2.3130000000000002</v>
      </c>
      <c r="J61" s="1">
        <v>4.9610000000000003</v>
      </c>
      <c r="K61" s="1">
        <v>4.8049999999999997</v>
      </c>
      <c r="L61" s="1">
        <v>0.54900000000000004</v>
      </c>
      <c r="M61" s="1">
        <v>0.441</v>
      </c>
      <c r="P61" s="1"/>
    </row>
    <row r="62" spans="1:16" x14ac:dyDescent="0.35">
      <c r="A62" s="1" t="s">
        <v>167</v>
      </c>
      <c r="B62" s="6">
        <v>1</v>
      </c>
      <c r="C62" s="1" t="s">
        <v>25</v>
      </c>
      <c r="D62" s="1" t="s">
        <v>26</v>
      </c>
      <c r="E62" s="1" t="s">
        <v>117</v>
      </c>
      <c r="F62" s="1">
        <v>48</v>
      </c>
      <c r="G62" s="1" t="s">
        <v>38</v>
      </c>
      <c r="H62" s="1">
        <v>4</v>
      </c>
      <c r="I62" s="1">
        <v>2.2690000000000001</v>
      </c>
      <c r="J62" s="1">
        <v>5.4690000000000003</v>
      </c>
      <c r="K62" s="1">
        <v>5.5570000000000004</v>
      </c>
      <c r="L62" s="1">
        <v>0.54300000000000004</v>
      </c>
      <c r="M62" s="1">
        <v>0.438</v>
      </c>
      <c r="P62" s="1"/>
    </row>
    <row r="63" spans="1:16" x14ac:dyDescent="0.35">
      <c r="A63" s="1" t="s">
        <v>169</v>
      </c>
      <c r="B63" s="6">
        <v>1</v>
      </c>
      <c r="C63" s="1" t="s">
        <v>25</v>
      </c>
      <c r="D63" s="1" t="s">
        <v>26</v>
      </c>
      <c r="E63" s="1">
        <v>1</v>
      </c>
      <c r="F63" s="1">
        <v>49</v>
      </c>
      <c r="G63" s="1" t="s">
        <v>27</v>
      </c>
      <c r="H63" s="1" t="s">
        <v>26</v>
      </c>
      <c r="I63" s="1">
        <v>2.698</v>
      </c>
      <c r="J63" s="1">
        <v>5.9859999999999998</v>
      </c>
      <c r="K63" s="1">
        <v>5.8159999999999998</v>
      </c>
      <c r="L63" s="1">
        <v>0.63</v>
      </c>
      <c r="M63" s="1">
        <v>0.64</v>
      </c>
      <c r="N63" s="1" t="s">
        <v>172</v>
      </c>
      <c r="P63" s="1"/>
    </row>
    <row r="64" spans="1:16" x14ac:dyDescent="0.35">
      <c r="A64" s="1" t="s">
        <v>173</v>
      </c>
      <c r="B64" s="6">
        <v>1</v>
      </c>
      <c r="C64" s="1" t="s">
        <v>25</v>
      </c>
      <c r="D64" s="1" t="s">
        <v>26</v>
      </c>
      <c r="E64" s="1">
        <v>1</v>
      </c>
      <c r="F64" s="1">
        <v>50</v>
      </c>
      <c r="G64" s="1" t="s">
        <v>27</v>
      </c>
      <c r="H64" s="1" t="s">
        <v>26</v>
      </c>
      <c r="I64" s="1">
        <v>1.9410000000000001</v>
      </c>
      <c r="J64" s="1">
        <v>4.1319999999999997</v>
      </c>
      <c r="K64" s="1">
        <v>4.2279999999999998</v>
      </c>
      <c r="L64" s="1">
        <v>0.46899999999999997</v>
      </c>
      <c r="M64" s="1">
        <v>0.51200000000000001</v>
      </c>
      <c r="P64" s="1"/>
    </row>
    <row r="65" spans="1:16" x14ac:dyDescent="0.35">
      <c r="A65" s="1" t="s">
        <v>175</v>
      </c>
      <c r="B65" s="6">
        <v>1</v>
      </c>
      <c r="C65" s="1" t="s">
        <v>25</v>
      </c>
      <c r="D65" s="1" t="s">
        <v>26</v>
      </c>
      <c r="E65" s="1">
        <v>4</v>
      </c>
      <c r="F65" s="1">
        <v>51</v>
      </c>
      <c r="G65" s="1" t="s">
        <v>27</v>
      </c>
      <c r="H65" s="1" t="s">
        <v>26</v>
      </c>
      <c r="I65" s="1">
        <v>2.2120000000000002</v>
      </c>
      <c r="J65" s="1">
        <v>4.5819999999999999</v>
      </c>
      <c r="K65" s="1">
        <v>4.5640000000000001</v>
      </c>
      <c r="L65" s="1">
        <v>0.45300000000000001</v>
      </c>
      <c r="M65" s="1">
        <v>0.54700000000000004</v>
      </c>
      <c r="N65" s="1" t="s">
        <v>177</v>
      </c>
      <c r="P65" s="1"/>
    </row>
    <row r="66" spans="1:16" x14ac:dyDescent="0.35">
      <c r="A66" s="1" t="s">
        <v>178</v>
      </c>
      <c r="B66" s="6">
        <v>1</v>
      </c>
      <c r="C66" s="1" t="s">
        <v>32</v>
      </c>
      <c r="D66" s="1" t="s">
        <v>33</v>
      </c>
      <c r="E66" s="1">
        <v>4</v>
      </c>
      <c r="F66" s="1">
        <v>51</v>
      </c>
      <c r="G66" s="1" t="s">
        <v>27</v>
      </c>
      <c r="H66" s="1" t="s">
        <v>26</v>
      </c>
      <c r="I66" s="1">
        <v>0.67</v>
      </c>
      <c r="J66" s="1">
        <v>2.78</v>
      </c>
      <c r="K66" s="1">
        <v>2.7149999999999999</v>
      </c>
      <c r="L66" s="1">
        <v>0.22</v>
      </c>
      <c r="M66" s="1">
        <v>0.13600000000000001</v>
      </c>
      <c r="P66" s="1"/>
    </row>
    <row r="67" spans="1:16" x14ac:dyDescent="0.35">
      <c r="A67" s="1" t="s">
        <v>179</v>
      </c>
      <c r="B67" s="6">
        <v>1</v>
      </c>
      <c r="C67" s="1" t="s">
        <v>25</v>
      </c>
      <c r="D67" s="1" t="s">
        <v>26</v>
      </c>
      <c r="E67" s="1">
        <v>4</v>
      </c>
      <c r="F67" s="1">
        <v>52</v>
      </c>
      <c r="G67" s="1" t="s">
        <v>27</v>
      </c>
      <c r="H67" s="1" t="s">
        <v>26</v>
      </c>
      <c r="I67" s="1">
        <v>2.4849999999999999</v>
      </c>
      <c r="J67" s="1">
        <v>5.72</v>
      </c>
      <c r="K67" s="1">
        <v>5.6829999999999998</v>
      </c>
      <c r="L67" s="1">
        <v>0.59899999999999998</v>
      </c>
      <c r="M67" s="1">
        <v>0.56000000000000005</v>
      </c>
      <c r="P67" s="1"/>
    </row>
    <row r="68" spans="1:16" x14ac:dyDescent="0.35">
      <c r="A68" s="1" t="s">
        <v>181</v>
      </c>
      <c r="B68" s="6">
        <v>1</v>
      </c>
      <c r="C68" s="1" t="s">
        <v>32</v>
      </c>
      <c r="D68" s="1" t="s">
        <v>33</v>
      </c>
      <c r="E68" s="1">
        <v>4</v>
      </c>
      <c r="F68" s="1">
        <v>52</v>
      </c>
      <c r="G68" s="1" t="s">
        <v>27</v>
      </c>
      <c r="H68" s="1" t="s">
        <v>26</v>
      </c>
      <c r="I68" s="1">
        <v>0.82399999999999995</v>
      </c>
      <c r="J68" s="1">
        <v>3.0030000000000001</v>
      </c>
      <c r="K68" s="1">
        <v>2.9990000000000001</v>
      </c>
      <c r="L68" s="1">
        <v>0.22500000000000001</v>
      </c>
      <c r="M68" s="1">
        <v>0.13400000000000001</v>
      </c>
      <c r="P68" s="1"/>
    </row>
    <row r="69" spans="1:16" x14ac:dyDescent="0.35">
      <c r="A69" s="1" t="s">
        <v>182</v>
      </c>
      <c r="B69" s="6">
        <v>1</v>
      </c>
      <c r="C69" s="1" t="s">
        <v>25</v>
      </c>
      <c r="D69" s="1" t="s">
        <v>26</v>
      </c>
      <c r="E69" s="1">
        <v>4</v>
      </c>
      <c r="F69" s="1">
        <v>53</v>
      </c>
      <c r="G69" s="1" t="s">
        <v>27</v>
      </c>
      <c r="H69" s="1" t="s">
        <v>26</v>
      </c>
      <c r="I69" s="1">
        <v>2.1789999999999998</v>
      </c>
      <c r="J69" s="1">
        <v>4.2460000000000004</v>
      </c>
      <c r="K69" s="1">
        <v>4.1589999999999998</v>
      </c>
      <c r="L69" s="1">
        <v>0.45800000000000002</v>
      </c>
      <c r="M69" s="1">
        <v>0.52</v>
      </c>
      <c r="N69" s="1" t="s">
        <v>177</v>
      </c>
      <c r="P69" s="1" t="s">
        <v>55</v>
      </c>
    </row>
    <row r="70" spans="1:16" x14ac:dyDescent="0.35">
      <c r="A70" s="1" t="s">
        <v>184</v>
      </c>
      <c r="B70" s="6">
        <v>1</v>
      </c>
      <c r="C70" s="1" t="s">
        <v>25</v>
      </c>
      <c r="D70" s="1" t="s">
        <v>26</v>
      </c>
      <c r="E70" s="1">
        <v>4</v>
      </c>
      <c r="F70" s="1">
        <v>54</v>
      </c>
      <c r="G70" s="1" t="s">
        <v>27</v>
      </c>
      <c r="H70" s="1" t="s">
        <v>26</v>
      </c>
      <c r="I70" s="1">
        <v>2.351</v>
      </c>
      <c r="J70" s="1">
        <v>4.4039999999999999</v>
      </c>
      <c r="K70" s="1">
        <v>4.5410000000000004</v>
      </c>
      <c r="L70" s="1">
        <v>0.51900000000000002</v>
      </c>
      <c r="M70" s="1">
        <v>0.68600000000000005</v>
      </c>
      <c r="P70" s="1"/>
    </row>
    <row r="71" spans="1:16" x14ac:dyDescent="0.35">
      <c r="A71" s="1" t="s">
        <v>186</v>
      </c>
      <c r="B71" s="6">
        <v>1</v>
      </c>
      <c r="C71" s="1" t="s">
        <v>32</v>
      </c>
      <c r="D71" s="1" t="s">
        <v>33</v>
      </c>
      <c r="E71" s="1">
        <v>4</v>
      </c>
      <c r="F71" s="1">
        <v>54</v>
      </c>
      <c r="G71" s="1" t="s">
        <v>27</v>
      </c>
      <c r="H71" s="1" t="s">
        <v>26</v>
      </c>
      <c r="I71" s="1">
        <v>0.61299999999999999</v>
      </c>
      <c r="J71" s="1" t="s">
        <v>26</v>
      </c>
      <c r="K71" s="1">
        <v>2.0640000000000001</v>
      </c>
      <c r="L71" s="1">
        <v>0.18</v>
      </c>
      <c r="M71" s="1">
        <v>0.129</v>
      </c>
      <c r="P71" s="1" t="s">
        <v>57</v>
      </c>
    </row>
    <row r="72" spans="1:16" x14ac:dyDescent="0.35">
      <c r="A72" s="1" t="s">
        <v>187</v>
      </c>
      <c r="B72" s="6">
        <v>1</v>
      </c>
      <c r="C72" s="1" t="s">
        <v>25</v>
      </c>
      <c r="D72" s="1" t="s">
        <v>26</v>
      </c>
      <c r="E72" s="1">
        <v>3</v>
      </c>
      <c r="F72" s="1">
        <v>55</v>
      </c>
      <c r="G72" s="1" t="s">
        <v>27</v>
      </c>
      <c r="H72" s="1" t="s">
        <v>26</v>
      </c>
      <c r="I72" s="1">
        <v>2.31</v>
      </c>
      <c r="J72" s="1">
        <v>5.2190000000000003</v>
      </c>
      <c r="K72" s="1">
        <v>5.1929999999999996</v>
      </c>
      <c r="L72" s="1">
        <v>0.56200000000000006</v>
      </c>
      <c r="M72" s="1">
        <v>0.52500000000000002</v>
      </c>
      <c r="N72" s="1" t="s">
        <v>189</v>
      </c>
      <c r="P72" s="1"/>
    </row>
    <row r="73" spans="1:16" x14ac:dyDescent="0.35">
      <c r="A73" s="1" t="s">
        <v>190</v>
      </c>
      <c r="B73" s="6">
        <v>1</v>
      </c>
      <c r="C73" s="1" t="s">
        <v>32</v>
      </c>
      <c r="D73" s="1" t="s">
        <v>33</v>
      </c>
      <c r="E73" s="1">
        <v>3</v>
      </c>
      <c r="F73" s="1">
        <v>55</v>
      </c>
      <c r="G73" s="1" t="s">
        <v>27</v>
      </c>
      <c r="H73" s="1" t="s">
        <v>26</v>
      </c>
      <c r="I73" s="1">
        <v>0.503</v>
      </c>
      <c r="J73" s="1">
        <v>1.788</v>
      </c>
      <c r="K73" s="1">
        <v>1.6870000000000001</v>
      </c>
      <c r="L73" s="1">
        <v>0.154</v>
      </c>
      <c r="M73" s="1">
        <v>0.111</v>
      </c>
      <c r="N73" s="1" t="s">
        <v>189</v>
      </c>
      <c r="P73" s="1"/>
    </row>
    <row r="74" spans="1:16" x14ac:dyDescent="0.35">
      <c r="A74" s="1" t="s">
        <v>191</v>
      </c>
      <c r="B74" s="6">
        <v>1</v>
      </c>
      <c r="C74" s="1" t="s">
        <v>25</v>
      </c>
      <c r="D74" s="1" t="s">
        <v>26</v>
      </c>
      <c r="E74" s="1">
        <v>3</v>
      </c>
      <c r="F74" s="1">
        <v>56</v>
      </c>
      <c r="G74" s="1" t="s">
        <v>27</v>
      </c>
      <c r="H74" s="1" t="s">
        <v>26</v>
      </c>
      <c r="I74" s="1">
        <v>2.5950000000000002</v>
      </c>
      <c r="J74" s="1">
        <v>5.0780000000000003</v>
      </c>
      <c r="K74" s="1">
        <v>5.1479999999999997</v>
      </c>
      <c r="L74" s="1">
        <v>0.56100000000000005</v>
      </c>
      <c r="M74" s="1">
        <v>0.64800000000000002</v>
      </c>
      <c r="P74" s="1"/>
    </row>
    <row r="75" spans="1:16" x14ac:dyDescent="0.35">
      <c r="A75" s="1" t="s">
        <v>193</v>
      </c>
      <c r="B75" s="6">
        <v>1</v>
      </c>
      <c r="C75" s="1" t="s">
        <v>32</v>
      </c>
      <c r="D75" s="1" t="s">
        <v>33</v>
      </c>
      <c r="E75" s="1">
        <v>3</v>
      </c>
      <c r="F75" s="1">
        <v>56</v>
      </c>
      <c r="G75" s="1" t="s">
        <v>27</v>
      </c>
      <c r="H75" s="1" t="s">
        <v>26</v>
      </c>
      <c r="I75" s="1">
        <v>0.79600000000000004</v>
      </c>
      <c r="J75" s="1">
        <v>2.944</v>
      </c>
      <c r="K75" s="1">
        <v>2.9510999999999998</v>
      </c>
      <c r="L75" s="1">
        <v>0.251</v>
      </c>
      <c r="M75" s="1">
        <v>0.14599999999999999</v>
      </c>
      <c r="P75" s="1"/>
    </row>
    <row r="76" spans="1:16" x14ac:dyDescent="0.35">
      <c r="A76" s="1" t="s">
        <v>194</v>
      </c>
      <c r="B76" s="6">
        <v>1</v>
      </c>
      <c r="C76" s="1" t="s">
        <v>25</v>
      </c>
      <c r="D76" s="1" t="s">
        <v>26</v>
      </c>
      <c r="E76" s="1">
        <v>3</v>
      </c>
      <c r="F76" s="1">
        <v>57</v>
      </c>
      <c r="G76" s="1" t="s">
        <v>27</v>
      </c>
      <c r="H76" s="1" t="s">
        <v>26</v>
      </c>
      <c r="I76" s="1">
        <v>1.82</v>
      </c>
      <c r="J76" s="1">
        <v>4.5449999999999999</v>
      </c>
      <c r="K76" s="1">
        <v>4.4080000000000004</v>
      </c>
      <c r="L76" s="1">
        <v>0.48199999999999998</v>
      </c>
      <c r="M76" s="1">
        <v>0.38100000000000001</v>
      </c>
      <c r="N76" s="1" t="s">
        <v>197</v>
      </c>
      <c r="P76" s="1"/>
    </row>
    <row r="77" spans="1:16" x14ac:dyDescent="0.35">
      <c r="A77" s="1" t="s">
        <v>198</v>
      </c>
      <c r="B77" s="6">
        <v>1</v>
      </c>
      <c r="C77" s="1" t="s">
        <v>32</v>
      </c>
      <c r="D77" s="1" t="s">
        <v>33</v>
      </c>
      <c r="E77" s="1">
        <v>3</v>
      </c>
      <c r="F77" s="1">
        <v>57</v>
      </c>
      <c r="G77" s="1" t="s">
        <v>27</v>
      </c>
      <c r="H77" s="1" t="s">
        <v>26</v>
      </c>
      <c r="I77" s="1">
        <v>0.69799999999999995</v>
      </c>
      <c r="J77" s="1">
        <v>2.762</v>
      </c>
      <c r="K77" s="1" t="s">
        <v>26</v>
      </c>
      <c r="L77" s="1">
        <v>0.21199999999999999</v>
      </c>
      <c r="M77" s="1">
        <v>0.11899999999999999</v>
      </c>
      <c r="N77" s="1" t="s">
        <v>197</v>
      </c>
      <c r="P77" s="1" t="s">
        <v>65</v>
      </c>
    </row>
    <row r="78" spans="1:16" x14ac:dyDescent="0.35">
      <c r="A78" s="1" t="s">
        <v>199</v>
      </c>
      <c r="B78" s="6">
        <v>1</v>
      </c>
      <c r="C78" s="1" t="s">
        <v>25</v>
      </c>
      <c r="D78" s="1" t="s">
        <v>26</v>
      </c>
      <c r="E78" s="1">
        <v>3</v>
      </c>
      <c r="F78" s="1">
        <v>58</v>
      </c>
      <c r="G78" s="1" t="s">
        <v>27</v>
      </c>
      <c r="H78" s="1" t="s">
        <v>26</v>
      </c>
      <c r="I78" s="1">
        <v>2.423</v>
      </c>
      <c r="J78" s="1">
        <v>5.024</v>
      </c>
      <c r="K78" s="1">
        <v>5.2489999999999997</v>
      </c>
      <c r="L78" s="1">
        <v>0.52600000000000002</v>
      </c>
      <c r="M78" s="1">
        <v>0.53</v>
      </c>
      <c r="P78" s="1"/>
    </row>
    <row r="79" spans="1:16" x14ac:dyDescent="0.35">
      <c r="A79" s="1" t="s">
        <v>201</v>
      </c>
      <c r="B79" s="6">
        <v>1</v>
      </c>
      <c r="C79" s="1" t="s">
        <v>32</v>
      </c>
      <c r="D79" s="1" t="s">
        <v>33</v>
      </c>
      <c r="E79" s="1">
        <v>3</v>
      </c>
      <c r="F79" s="1">
        <v>58</v>
      </c>
      <c r="G79" s="1" t="s">
        <v>27</v>
      </c>
      <c r="H79" s="1" t="s">
        <v>26</v>
      </c>
      <c r="I79" s="1">
        <v>0.59699999999999998</v>
      </c>
      <c r="J79" s="1">
        <v>2.0619999999999998</v>
      </c>
      <c r="K79" s="1">
        <v>2.137</v>
      </c>
      <c r="L79" s="1">
        <v>0.183</v>
      </c>
      <c r="M79" s="1">
        <v>0.13500000000000001</v>
      </c>
      <c r="P79" s="1"/>
    </row>
    <row r="80" spans="1:16" x14ac:dyDescent="0.35">
      <c r="A80" s="1" t="s">
        <v>207</v>
      </c>
      <c r="B80" s="6">
        <v>1</v>
      </c>
      <c r="C80" s="1" t="s">
        <v>25</v>
      </c>
      <c r="D80" s="1" t="s">
        <v>26</v>
      </c>
      <c r="E80" s="1">
        <v>3</v>
      </c>
      <c r="F80" s="1">
        <v>60</v>
      </c>
      <c r="G80" s="1" t="s">
        <v>27</v>
      </c>
      <c r="H80" s="1" t="s">
        <v>26</v>
      </c>
      <c r="I80" s="1">
        <v>2.3119999999999998</v>
      </c>
      <c r="J80" s="1" t="s">
        <v>26</v>
      </c>
      <c r="K80" s="1">
        <v>5.1630000000000003</v>
      </c>
      <c r="L80" s="1">
        <v>0.58899999999999997</v>
      </c>
      <c r="M80" s="1">
        <v>0.52200000000000002</v>
      </c>
      <c r="P80" s="1"/>
    </row>
    <row r="81" spans="1:16" x14ac:dyDescent="0.35">
      <c r="A81" s="1" t="s">
        <v>209</v>
      </c>
      <c r="B81" s="6">
        <v>1</v>
      </c>
      <c r="C81" s="1" t="s">
        <v>25</v>
      </c>
      <c r="D81" s="1" t="s">
        <v>26</v>
      </c>
      <c r="E81" s="1">
        <v>5</v>
      </c>
      <c r="F81" s="1">
        <v>61</v>
      </c>
      <c r="G81" s="1" t="s">
        <v>38</v>
      </c>
      <c r="H81" s="1">
        <v>5</v>
      </c>
      <c r="I81" s="1">
        <v>2.4780000000000002</v>
      </c>
      <c r="J81" s="1">
        <v>4.7229999999999999</v>
      </c>
      <c r="K81" s="1">
        <v>4.8529999999999998</v>
      </c>
      <c r="L81" s="1">
        <v>0.52</v>
      </c>
      <c r="M81" s="1">
        <v>0.57399999999999995</v>
      </c>
      <c r="P81" s="1"/>
    </row>
    <row r="82" spans="1:16" x14ac:dyDescent="0.35">
      <c r="A82" s="1" t="s">
        <v>212</v>
      </c>
      <c r="B82" s="6">
        <v>1</v>
      </c>
      <c r="C82" s="1" t="s">
        <v>32</v>
      </c>
      <c r="D82" s="1" t="s">
        <v>33</v>
      </c>
      <c r="E82" s="1">
        <v>5</v>
      </c>
      <c r="F82" s="1">
        <v>61</v>
      </c>
      <c r="G82" s="1" t="s">
        <v>38</v>
      </c>
      <c r="H82" s="1">
        <v>5</v>
      </c>
      <c r="I82" s="1">
        <v>0.86</v>
      </c>
      <c r="J82" s="1">
        <v>2.9169999999999998</v>
      </c>
      <c r="K82" s="1">
        <v>2.8809999999999998</v>
      </c>
      <c r="L82" s="1">
        <v>0.26500000000000001</v>
      </c>
      <c r="M82" s="1">
        <v>0.14899999999999999</v>
      </c>
      <c r="P82" s="1"/>
    </row>
    <row r="83" spans="1:16" x14ac:dyDescent="0.35">
      <c r="A83" s="1" t="s">
        <v>213</v>
      </c>
      <c r="B83" s="6">
        <v>1</v>
      </c>
      <c r="C83" s="1" t="s">
        <v>25</v>
      </c>
      <c r="D83" s="1" t="s">
        <v>26</v>
      </c>
      <c r="E83" s="1">
        <v>5</v>
      </c>
      <c r="F83" s="1">
        <v>62</v>
      </c>
      <c r="G83" s="1" t="s">
        <v>38</v>
      </c>
      <c r="H83" s="1">
        <v>5</v>
      </c>
      <c r="I83" s="1">
        <v>2.242</v>
      </c>
      <c r="J83" s="1">
        <v>4.8860000000000001</v>
      </c>
      <c r="K83" s="1">
        <v>4.9160000000000004</v>
      </c>
      <c r="L83" s="1">
        <v>0.53800000000000003</v>
      </c>
      <c r="M83" s="1">
        <v>0.35899999999999999</v>
      </c>
      <c r="P83" s="1" t="s">
        <v>55</v>
      </c>
    </row>
    <row r="84" spans="1:16" x14ac:dyDescent="0.35">
      <c r="A84" s="1" t="s">
        <v>215</v>
      </c>
      <c r="B84" s="6">
        <v>1</v>
      </c>
      <c r="C84" s="1" t="s">
        <v>25</v>
      </c>
      <c r="D84" s="1" t="s">
        <v>26</v>
      </c>
      <c r="E84" s="1">
        <v>5</v>
      </c>
      <c r="F84" s="1">
        <v>63</v>
      </c>
      <c r="G84" s="1" t="s">
        <v>38</v>
      </c>
      <c r="H84" s="1">
        <v>5</v>
      </c>
      <c r="I84" s="1">
        <v>1.88</v>
      </c>
      <c r="J84" s="1">
        <v>4.2080000000000002</v>
      </c>
      <c r="K84" s="1">
        <v>4.16</v>
      </c>
      <c r="L84" s="1">
        <v>0.42499999999999999</v>
      </c>
      <c r="M84" s="1">
        <v>0.439</v>
      </c>
      <c r="P84" s="1"/>
    </row>
    <row r="85" spans="1:16" x14ac:dyDescent="0.35">
      <c r="A85" s="1" t="s">
        <v>217</v>
      </c>
      <c r="B85" s="6">
        <v>1</v>
      </c>
      <c r="C85" s="1" t="s">
        <v>25</v>
      </c>
      <c r="D85" s="1" t="s">
        <v>26</v>
      </c>
      <c r="E85" s="1">
        <v>5</v>
      </c>
      <c r="F85" s="1">
        <v>64</v>
      </c>
      <c r="G85" s="1" t="s">
        <v>38</v>
      </c>
      <c r="H85" s="1">
        <v>5</v>
      </c>
      <c r="I85" s="1">
        <v>2.1429999999999998</v>
      </c>
      <c r="J85" s="1">
        <v>4.88</v>
      </c>
      <c r="K85" s="1">
        <v>4.9710000000000001</v>
      </c>
      <c r="L85" s="1">
        <v>0.49199999999999999</v>
      </c>
      <c r="M85" s="1">
        <v>0.41899999999999998</v>
      </c>
      <c r="P85" s="1" t="s">
        <v>55</v>
      </c>
    </row>
    <row r="86" spans="1:16" x14ac:dyDescent="0.35">
      <c r="A86" s="1" t="s">
        <v>219</v>
      </c>
      <c r="B86" s="6">
        <v>1</v>
      </c>
      <c r="C86" s="1" t="s">
        <v>25</v>
      </c>
      <c r="D86" s="1" t="s">
        <v>26</v>
      </c>
      <c r="E86" s="1">
        <v>5</v>
      </c>
      <c r="F86" s="1">
        <v>65</v>
      </c>
      <c r="G86" s="1" t="s">
        <v>38</v>
      </c>
      <c r="H86" s="1">
        <v>5</v>
      </c>
      <c r="I86" s="1">
        <v>2.2589999999999999</v>
      </c>
      <c r="J86" s="1">
        <v>4.452</v>
      </c>
      <c r="K86" s="1">
        <v>4.431</v>
      </c>
      <c r="L86" s="1">
        <v>0.47499999999999998</v>
      </c>
      <c r="M86" s="1">
        <v>0.61199999999999999</v>
      </c>
      <c r="P86" s="1" t="s">
        <v>55</v>
      </c>
    </row>
    <row r="87" spans="1:16" x14ac:dyDescent="0.35">
      <c r="A87" s="1" t="s">
        <v>221</v>
      </c>
      <c r="B87" s="6">
        <v>1</v>
      </c>
      <c r="C87" s="1" t="s">
        <v>25</v>
      </c>
      <c r="D87" s="1" t="s">
        <v>26</v>
      </c>
      <c r="E87" s="1" t="s">
        <v>117</v>
      </c>
      <c r="F87" s="1">
        <v>66</v>
      </c>
      <c r="G87" s="1" t="s">
        <v>27</v>
      </c>
      <c r="H87" s="1" t="s">
        <v>26</v>
      </c>
      <c r="I87" s="1">
        <v>2.2130000000000001</v>
      </c>
      <c r="J87" s="1">
        <v>5.24</v>
      </c>
      <c r="K87" s="1">
        <v>5.1349999999999998</v>
      </c>
      <c r="L87" s="1">
        <v>0.51900000000000002</v>
      </c>
      <c r="M87" s="1">
        <v>0.497</v>
      </c>
      <c r="P87" s="1"/>
    </row>
    <row r="88" spans="1:16" x14ac:dyDescent="0.35">
      <c r="A88" s="1" t="s">
        <v>224</v>
      </c>
      <c r="B88" s="6">
        <v>1</v>
      </c>
      <c r="C88" s="1" t="s">
        <v>25</v>
      </c>
      <c r="D88" s="1" t="s">
        <v>26</v>
      </c>
      <c r="E88" s="1" t="s">
        <v>117</v>
      </c>
      <c r="F88" s="1">
        <v>67</v>
      </c>
      <c r="G88" s="1" t="s">
        <v>27</v>
      </c>
      <c r="H88" s="1" t="s">
        <v>26</v>
      </c>
      <c r="I88" s="1">
        <v>2.6419999999999999</v>
      </c>
      <c r="J88" s="1">
        <v>5.444</v>
      </c>
      <c r="K88" s="1">
        <v>5.5540000000000003</v>
      </c>
      <c r="L88" s="1">
        <v>0.56299999999999994</v>
      </c>
      <c r="M88" s="1">
        <v>0.54900000000000004</v>
      </c>
      <c r="P88" s="1"/>
    </row>
    <row r="89" spans="1:16" x14ac:dyDescent="0.35">
      <c r="A89" s="1" t="s">
        <v>226</v>
      </c>
      <c r="B89" s="6">
        <v>1</v>
      </c>
      <c r="C89" s="7" t="s">
        <v>25</v>
      </c>
      <c r="D89" s="1" t="s">
        <v>26</v>
      </c>
      <c r="E89" s="1">
        <v>6</v>
      </c>
      <c r="F89" s="1">
        <v>68</v>
      </c>
      <c r="G89" s="1" t="s">
        <v>27</v>
      </c>
      <c r="H89" s="1" t="s">
        <v>26</v>
      </c>
      <c r="I89" s="1">
        <v>2.4089999999999998</v>
      </c>
      <c r="J89" s="1">
        <v>4.5590000000000002</v>
      </c>
      <c r="K89" s="1">
        <v>4.4790000000000001</v>
      </c>
      <c r="L89" s="1">
        <v>0.45600000000000002</v>
      </c>
      <c r="M89" s="1">
        <v>0.26700000000000002</v>
      </c>
      <c r="P89" s="1"/>
    </row>
    <row r="90" spans="1:16" x14ac:dyDescent="0.35">
      <c r="A90" s="1" t="s">
        <v>228</v>
      </c>
      <c r="B90" s="6">
        <v>1</v>
      </c>
      <c r="C90" s="1" t="s">
        <v>25</v>
      </c>
      <c r="D90" s="1" t="s">
        <v>26</v>
      </c>
      <c r="E90" s="1">
        <v>6</v>
      </c>
      <c r="F90" s="1">
        <v>69</v>
      </c>
      <c r="G90" s="1" t="s">
        <v>27</v>
      </c>
      <c r="H90" s="1" t="s">
        <v>26</v>
      </c>
      <c r="I90" s="1">
        <v>2.363</v>
      </c>
      <c r="J90" s="1">
        <v>4.6559999999999997</v>
      </c>
      <c r="K90" s="1">
        <v>4.3819999999999997</v>
      </c>
      <c r="L90" s="1">
        <v>0.504</v>
      </c>
      <c r="M90" s="1">
        <v>0.54500000000000004</v>
      </c>
      <c r="P90" s="1"/>
    </row>
    <row r="91" spans="1:16" x14ac:dyDescent="0.35">
      <c r="A91" s="1" t="s">
        <v>230</v>
      </c>
      <c r="B91" s="6">
        <v>1</v>
      </c>
      <c r="C91" s="1" t="s">
        <v>25</v>
      </c>
      <c r="D91" s="1" t="s">
        <v>26</v>
      </c>
      <c r="E91" s="1">
        <v>6</v>
      </c>
      <c r="F91" s="1">
        <v>70</v>
      </c>
      <c r="G91" s="1" t="s">
        <v>27</v>
      </c>
      <c r="H91" s="1" t="s">
        <v>26</v>
      </c>
      <c r="I91" s="1">
        <v>2.109</v>
      </c>
      <c r="J91" s="1">
        <v>4.4950000000000001</v>
      </c>
      <c r="K91" s="1">
        <v>4.524</v>
      </c>
      <c r="L91" s="1">
        <v>0.44900000000000001</v>
      </c>
      <c r="M91" s="1">
        <v>0.377</v>
      </c>
      <c r="N91" s="1" t="s">
        <v>177</v>
      </c>
      <c r="P91" s="1"/>
    </row>
    <row r="92" spans="1:16" x14ac:dyDescent="0.35">
      <c r="A92" s="1" t="s">
        <v>232</v>
      </c>
      <c r="B92" s="6">
        <v>1</v>
      </c>
      <c r="C92" s="1" t="s">
        <v>25</v>
      </c>
      <c r="D92" s="1" t="s">
        <v>26</v>
      </c>
      <c r="E92" s="1">
        <v>6</v>
      </c>
      <c r="F92" s="1">
        <v>71</v>
      </c>
      <c r="G92" s="1" t="s">
        <v>27</v>
      </c>
      <c r="H92" s="1" t="s">
        <v>26</v>
      </c>
      <c r="I92" s="1">
        <v>2.2679999999999998</v>
      </c>
      <c r="J92" s="1">
        <v>5.2309999999999999</v>
      </c>
      <c r="K92" s="1">
        <v>5.2060000000000004</v>
      </c>
      <c r="L92" s="1">
        <v>0.49299999999999999</v>
      </c>
      <c r="M92" s="1">
        <v>0.27400000000000002</v>
      </c>
      <c r="P92" s="1"/>
    </row>
    <row r="93" spans="1:16" x14ac:dyDescent="0.35">
      <c r="A93" s="1" t="s">
        <v>234</v>
      </c>
      <c r="B93" s="6">
        <v>1</v>
      </c>
      <c r="C93" s="1" t="s">
        <v>25</v>
      </c>
      <c r="D93" s="1" t="s">
        <v>26</v>
      </c>
      <c r="E93" s="1">
        <v>6</v>
      </c>
      <c r="F93" s="1">
        <v>72</v>
      </c>
      <c r="G93" s="1" t="s">
        <v>27</v>
      </c>
      <c r="H93" s="1" t="s">
        <v>26</v>
      </c>
      <c r="I93" s="1">
        <v>2.383</v>
      </c>
      <c r="J93" s="1">
        <v>5.0860000000000003</v>
      </c>
      <c r="K93" s="1">
        <v>5.0250000000000004</v>
      </c>
      <c r="L93" s="1">
        <v>0.57199999999999995</v>
      </c>
      <c r="M93" s="1">
        <v>0.38400000000000001</v>
      </c>
      <c r="N93" s="1" t="s">
        <v>236</v>
      </c>
      <c r="P93" s="1"/>
    </row>
    <row r="94" spans="1:16" x14ac:dyDescent="0.35">
      <c r="A94" s="1" t="s">
        <v>237</v>
      </c>
      <c r="B94" s="6">
        <v>1</v>
      </c>
      <c r="C94" s="1" t="s">
        <v>25</v>
      </c>
      <c r="D94" s="1" t="s">
        <v>26</v>
      </c>
      <c r="E94" s="1">
        <v>3</v>
      </c>
      <c r="F94" s="1">
        <v>73</v>
      </c>
      <c r="G94" s="1" t="s">
        <v>27</v>
      </c>
      <c r="H94" s="1" t="s">
        <v>26</v>
      </c>
      <c r="I94" s="1">
        <v>2.6859999999999999</v>
      </c>
      <c r="J94" s="1">
        <v>5.2930000000000001</v>
      </c>
      <c r="K94" s="1">
        <v>5.3029999999999999</v>
      </c>
      <c r="L94" s="1">
        <v>0.52200000000000002</v>
      </c>
      <c r="M94" s="1">
        <v>0.46100000000000002</v>
      </c>
      <c r="P94" s="1"/>
    </row>
    <row r="95" spans="1:16" x14ac:dyDescent="0.35">
      <c r="A95" s="1" t="s">
        <v>239</v>
      </c>
      <c r="B95" s="6">
        <v>1</v>
      </c>
      <c r="C95" s="1" t="s">
        <v>25</v>
      </c>
      <c r="D95" s="1" t="s">
        <v>26</v>
      </c>
      <c r="E95" s="1" t="s">
        <v>117</v>
      </c>
      <c r="F95" s="1">
        <v>74</v>
      </c>
      <c r="G95" s="1" t="s">
        <v>27</v>
      </c>
      <c r="H95" s="1" t="s">
        <v>26</v>
      </c>
      <c r="I95" s="1">
        <v>2.0939999999999999</v>
      </c>
      <c r="J95" s="1">
        <v>4.4509999999999996</v>
      </c>
      <c r="K95" s="1">
        <v>4.3520000000000003</v>
      </c>
      <c r="L95" s="1">
        <v>0.47</v>
      </c>
      <c r="M95" s="1">
        <v>0.438</v>
      </c>
      <c r="P95" s="1"/>
    </row>
    <row r="96" spans="1:16" x14ac:dyDescent="0.35">
      <c r="A96" s="1" t="s">
        <v>241</v>
      </c>
      <c r="B96" s="6">
        <v>1</v>
      </c>
      <c r="C96" s="1" t="s">
        <v>25</v>
      </c>
      <c r="D96" s="1" t="s">
        <v>26</v>
      </c>
      <c r="E96" s="1" t="s">
        <v>117</v>
      </c>
      <c r="F96" s="1">
        <v>75</v>
      </c>
      <c r="G96" s="1" t="s">
        <v>27</v>
      </c>
      <c r="H96" s="1" t="s">
        <v>26</v>
      </c>
      <c r="I96" s="1">
        <v>2.097</v>
      </c>
      <c r="J96" s="1" t="s">
        <v>26</v>
      </c>
      <c r="K96" s="1" t="s">
        <v>26</v>
      </c>
      <c r="L96" s="1">
        <v>0.49299999999999999</v>
      </c>
      <c r="M96" s="1">
        <v>0.33900000000000002</v>
      </c>
      <c r="P96" s="1"/>
    </row>
    <row r="97" spans="1:16" x14ac:dyDescent="0.35">
      <c r="A97" s="1" t="s">
        <v>243</v>
      </c>
      <c r="B97" s="6">
        <v>1</v>
      </c>
      <c r="C97" s="1" t="s">
        <v>25</v>
      </c>
      <c r="D97" s="1" t="s">
        <v>26</v>
      </c>
      <c r="E97" s="1">
        <v>1</v>
      </c>
      <c r="F97" s="1">
        <v>76</v>
      </c>
      <c r="G97" s="1" t="s">
        <v>27</v>
      </c>
      <c r="H97" s="1" t="s">
        <v>26</v>
      </c>
      <c r="I97" s="1">
        <v>2.5129999999999999</v>
      </c>
      <c r="J97" s="1">
        <v>5.2830000000000004</v>
      </c>
      <c r="K97" s="1">
        <v>5.4009999999999998</v>
      </c>
      <c r="L97" s="1">
        <v>0.57499999999999996</v>
      </c>
      <c r="M97" s="1">
        <v>0.41</v>
      </c>
      <c r="N97" s="1" t="s">
        <v>177</v>
      </c>
      <c r="P97" s="1"/>
    </row>
    <row r="98" spans="1:16" x14ac:dyDescent="0.35">
      <c r="A98" s="1" t="s">
        <v>245</v>
      </c>
      <c r="B98" s="1">
        <v>2</v>
      </c>
      <c r="C98" s="1" t="s">
        <v>32</v>
      </c>
      <c r="D98" s="1" t="s">
        <v>33</v>
      </c>
      <c r="E98" s="1">
        <v>1</v>
      </c>
      <c r="F98" s="1">
        <v>77</v>
      </c>
      <c r="G98" s="1" t="s">
        <v>27</v>
      </c>
      <c r="H98" s="1" t="s">
        <v>26</v>
      </c>
      <c r="I98" s="1">
        <v>0.73799999999999999</v>
      </c>
      <c r="J98" s="1">
        <v>2.54</v>
      </c>
      <c r="K98" s="1">
        <v>2.5670000000000002</v>
      </c>
      <c r="L98" s="1">
        <v>0.193</v>
      </c>
      <c r="M98" s="1">
        <v>0.14699999999999999</v>
      </c>
    </row>
    <row r="99" spans="1:16" x14ac:dyDescent="0.35">
      <c r="A99" s="1" t="s">
        <v>246</v>
      </c>
      <c r="B99" s="1">
        <v>2</v>
      </c>
      <c r="C99" s="1" t="s">
        <v>32</v>
      </c>
      <c r="D99" s="1" t="s">
        <v>247</v>
      </c>
      <c r="E99" s="1">
        <v>1</v>
      </c>
      <c r="F99" s="1">
        <v>77</v>
      </c>
      <c r="G99" s="1" t="s">
        <v>27</v>
      </c>
      <c r="H99" s="1" t="s">
        <v>26</v>
      </c>
      <c r="I99" s="1">
        <v>0.626</v>
      </c>
      <c r="J99" s="1">
        <v>2.141</v>
      </c>
      <c r="K99" s="1">
        <v>2.1269999999999998</v>
      </c>
      <c r="L99" s="1">
        <v>0.182</v>
      </c>
      <c r="M99" s="1">
        <v>0.113</v>
      </c>
    </row>
    <row r="100" spans="1:16" x14ac:dyDescent="0.35">
      <c r="A100" s="1" t="s">
        <v>248</v>
      </c>
      <c r="B100" s="1">
        <v>2</v>
      </c>
      <c r="C100" s="1" t="s">
        <v>25</v>
      </c>
      <c r="D100" s="1" t="s">
        <v>26</v>
      </c>
      <c r="E100" s="1">
        <v>1</v>
      </c>
      <c r="F100" s="1">
        <v>77</v>
      </c>
      <c r="G100" s="1" t="s">
        <v>27</v>
      </c>
      <c r="H100" s="1" t="s">
        <v>26</v>
      </c>
      <c r="I100" s="1">
        <v>1.571</v>
      </c>
      <c r="J100" s="1">
        <v>4.4820000000000002</v>
      </c>
      <c r="K100" s="1">
        <v>4.4930000000000003</v>
      </c>
      <c r="L100" s="1">
        <v>0.45</v>
      </c>
      <c r="M100" s="1">
        <v>0.40100000000000002</v>
      </c>
    </row>
    <row r="101" spans="1:16" x14ac:dyDescent="0.35">
      <c r="A101" s="1" t="s">
        <v>250</v>
      </c>
      <c r="B101" s="1">
        <v>2</v>
      </c>
      <c r="C101" s="1" t="s">
        <v>25</v>
      </c>
      <c r="D101" s="1" t="s">
        <v>26</v>
      </c>
      <c r="E101" s="1">
        <v>1</v>
      </c>
      <c r="F101" s="1">
        <v>78</v>
      </c>
      <c r="G101" s="1" t="s">
        <v>27</v>
      </c>
      <c r="H101" s="1" t="s">
        <v>26</v>
      </c>
      <c r="I101" s="1">
        <v>2.1389999999999998</v>
      </c>
      <c r="J101" s="1">
        <v>4.5190000000000001</v>
      </c>
      <c r="K101" s="1">
        <v>4.5410000000000004</v>
      </c>
      <c r="L101" s="1">
        <v>0.442</v>
      </c>
      <c r="M101" s="1">
        <v>0.40699999999999997</v>
      </c>
    </row>
    <row r="102" spans="1:16" x14ac:dyDescent="0.35">
      <c r="A102" s="1" t="s">
        <v>252</v>
      </c>
      <c r="B102" s="1">
        <v>2</v>
      </c>
      <c r="C102" s="1" t="s">
        <v>32</v>
      </c>
      <c r="D102" s="1" t="s">
        <v>33</v>
      </c>
      <c r="E102" s="1">
        <v>1</v>
      </c>
      <c r="F102" s="1">
        <v>78</v>
      </c>
      <c r="G102" s="1" t="s">
        <v>27</v>
      </c>
      <c r="H102" s="1" t="s">
        <v>26</v>
      </c>
      <c r="I102" s="1">
        <v>0.61399999999999999</v>
      </c>
      <c r="J102" s="1">
        <v>2.2989999999999999</v>
      </c>
      <c r="K102" s="1">
        <v>2.3119999999999998</v>
      </c>
      <c r="L102" s="1">
        <v>0.19</v>
      </c>
      <c r="M102" s="1">
        <v>0.125</v>
      </c>
    </row>
    <row r="103" spans="1:16" x14ac:dyDescent="0.35">
      <c r="A103" s="1" t="s">
        <v>253</v>
      </c>
      <c r="B103" s="1">
        <v>2</v>
      </c>
      <c r="C103" s="1" t="s">
        <v>25</v>
      </c>
      <c r="D103" s="1" t="s">
        <v>26</v>
      </c>
      <c r="E103" s="1">
        <v>1</v>
      </c>
      <c r="F103" s="1">
        <v>79</v>
      </c>
      <c r="G103" s="1" t="s">
        <v>27</v>
      </c>
      <c r="H103" s="1" t="s">
        <v>26</v>
      </c>
      <c r="I103" s="1">
        <v>1.57</v>
      </c>
      <c r="J103" s="1">
        <v>4.62</v>
      </c>
      <c r="K103" s="1">
        <v>4.5759999999999996</v>
      </c>
      <c r="L103" s="1">
        <v>0.44500000000000001</v>
      </c>
      <c r="M103" s="1">
        <v>0.30599999999999999</v>
      </c>
    </row>
    <row r="104" spans="1:16" x14ac:dyDescent="0.35">
      <c r="A104" s="1" t="s">
        <v>255</v>
      </c>
      <c r="B104" s="1">
        <v>2</v>
      </c>
      <c r="C104" s="1" t="s">
        <v>32</v>
      </c>
      <c r="D104" s="1" t="s">
        <v>33</v>
      </c>
      <c r="E104" s="1">
        <v>1</v>
      </c>
      <c r="F104" s="1">
        <v>79</v>
      </c>
      <c r="G104" s="1" t="s">
        <v>27</v>
      </c>
      <c r="H104" s="1" t="s">
        <v>26</v>
      </c>
      <c r="I104" s="1">
        <v>0.69299999999999995</v>
      </c>
      <c r="J104" s="1">
        <v>2.3530000000000002</v>
      </c>
      <c r="K104" s="1">
        <v>2.3140000000000001</v>
      </c>
      <c r="L104" s="1">
        <v>0.17799999999999999</v>
      </c>
      <c r="M104" s="1">
        <v>0.14000000000000001</v>
      </c>
    </row>
    <row r="105" spans="1:16" x14ac:dyDescent="0.35">
      <c r="A105" s="1" t="s">
        <v>256</v>
      </c>
      <c r="B105" s="1">
        <v>2</v>
      </c>
      <c r="C105" s="1" t="s">
        <v>32</v>
      </c>
      <c r="D105" s="1" t="s">
        <v>247</v>
      </c>
      <c r="E105" s="1">
        <v>1</v>
      </c>
      <c r="F105" s="1">
        <v>79</v>
      </c>
      <c r="G105" s="1" t="s">
        <v>27</v>
      </c>
      <c r="H105" s="1" t="s">
        <v>26</v>
      </c>
      <c r="I105" s="1">
        <v>0.623</v>
      </c>
      <c r="J105" s="1">
        <v>2.3260000000000001</v>
      </c>
      <c r="K105" s="1" t="s">
        <v>257</v>
      </c>
      <c r="L105" s="1">
        <v>0.17199999999999999</v>
      </c>
      <c r="M105" s="1">
        <v>0.126</v>
      </c>
    </row>
    <row r="106" spans="1:16" x14ac:dyDescent="0.35">
      <c r="A106" s="1" t="s">
        <v>258</v>
      </c>
      <c r="B106" s="1">
        <v>2</v>
      </c>
      <c r="C106" s="1" t="s">
        <v>25</v>
      </c>
      <c r="D106" s="1" t="s">
        <v>26</v>
      </c>
      <c r="E106" s="1">
        <v>3</v>
      </c>
      <c r="F106" s="1">
        <v>80</v>
      </c>
      <c r="G106" s="1" t="s">
        <v>38</v>
      </c>
      <c r="H106" s="1">
        <v>6</v>
      </c>
      <c r="I106" s="1">
        <v>1.0980000000000001</v>
      </c>
      <c r="J106" s="1">
        <v>3.0640000000000001</v>
      </c>
      <c r="K106" s="1">
        <v>3.1970000000000001</v>
      </c>
      <c r="L106" s="1">
        <v>0.29599999999999999</v>
      </c>
      <c r="M106" s="1">
        <v>0.24099999999999999</v>
      </c>
    </row>
    <row r="107" spans="1:16" x14ac:dyDescent="0.35">
      <c r="A107" s="1" t="s">
        <v>260</v>
      </c>
      <c r="B107" s="1">
        <v>2</v>
      </c>
      <c r="C107" s="1" t="s">
        <v>25</v>
      </c>
      <c r="D107" s="1" t="s">
        <v>26</v>
      </c>
      <c r="E107" s="1">
        <v>3</v>
      </c>
      <c r="F107" s="1">
        <v>81</v>
      </c>
      <c r="G107" s="1" t="s">
        <v>38</v>
      </c>
      <c r="H107" s="1">
        <v>6</v>
      </c>
      <c r="I107" s="1">
        <v>1.482</v>
      </c>
      <c r="J107" s="1">
        <v>3.43</v>
      </c>
      <c r="K107" s="1" t="s">
        <v>26</v>
      </c>
      <c r="L107" s="1">
        <v>0.36799999999999999</v>
      </c>
      <c r="M107" s="1">
        <v>0.29399999999999998</v>
      </c>
    </row>
    <row r="108" spans="1:16" x14ac:dyDescent="0.35">
      <c r="A108" s="1" t="s">
        <v>262</v>
      </c>
      <c r="B108" s="1">
        <v>2</v>
      </c>
      <c r="C108" s="1" t="s">
        <v>25</v>
      </c>
      <c r="D108" s="1" t="s">
        <v>26</v>
      </c>
      <c r="E108" s="1">
        <v>3</v>
      </c>
      <c r="F108" s="1">
        <v>82</v>
      </c>
      <c r="G108" s="1" t="s">
        <v>38</v>
      </c>
      <c r="H108" s="1">
        <v>6</v>
      </c>
      <c r="I108" s="1">
        <v>1.9630000000000001</v>
      </c>
      <c r="J108" s="1">
        <v>4.4909999999999997</v>
      </c>
      <c r="K108" s="1">
        <v>4.5529999999999999</v>
      </c>
      <c r="L108" s="1">
        <v>0.436</v>
      </c>
      <c r="M108" s="1">
        <v>0.41</v>
      </c>
    </row>
    <row r="109" spans="1:16" x14ac:dyDescent="0.35">
      <c r="A109" s="1" t="s">
        <v>264</v>
      </c>
      <c r="B109" s="1">
        <v>2</v>
      </c>
      <c r="C109" s="1" t="s">
        <v>25</v>
      </c>
      <c r="D109" s="1" t="s">
        <v>26</v>
      </c>
      <c r="E109" s="1">
        <v>3</v>
      </c>
      <c r="F109" s="1">
        <v>83</v>
      </c>
      <c r="G109" s="1" t="s">
        <v>38</v>
      </c>
      <c r="H109" s="1">
        <v>6</v>
      </c>
      <c r="I109" s="1">
        <v>1.3919999999999999</v>
      </c>
      <c r="J109" s="1">
        <v>3.109</v>
      </c>
      <c r="K109" s="1">
        <v>3.105</v>
      </c>
      <c r="L109" s="1">
        <v>0.30099999999999999</v>
      </c>
      <c r="M109" s="1">
        <v>0.27400000000000002</v>
      </c>
      <c r="N109" s="1" t="s">
        <v>266</v>
      </c>
    </row>
    <row r="110" spans="1:16" x14ac:dyDescent="0.35">
      <c r="A110" s="1" t="s">
        <v>267</v>
      </c>
      <c r="B110" s="1">
        <v>2</v>
      </c>
      <c r="C110" s="1" t="s">
        <v>32</v>
      </c>
      <c r="D110" s="1" t="s">
        <v>33</v>
      </c>
      <c r="E110" s="1">
        <v>3</v>
      </c>
      <c r="F110" s="1">
        <v>84</v>
      </c>
      <c r="G110" s="1" t="s">
        <v>38</v>
      </c>
      <c r="H110" s="1">
        <v>6</v>
      </c>
      <c r="I110" s="1">
        <v>0.59699999999999998</v>
      </c>
      <c r="J110" s="1">
        <v>2.37</v>
      </c>
      <c r="K110" s="1">
        <v>2.2050000000000001</v>
      </c>
      <c r="L110" s="1">
        <v>0.20699999999999999</v>
      </c>
      <c r="M110" s="1">
        <v>0.1</v>
      </c>
      <c r="N110" s="1" t="s">
        <v>269</v>
      </c>
    </row>
    <row r="111" spans="1:16" x14ac:dyDescent="0.35">
      <c r="A111" s="1" t="s">
        <v>270</v>
      </c>
      <c r="B111" s="1">
        <v>2</v>
      </c>
      <c r="C111" s="1" t="s">
        <v>25</v>
      </c>
      <c r="D111" s="1" t="s">
        <v>26</v>
      </c>
      <c r="E111" s="1">
        <v>3</v>
      </c>
      <c r="F111" s="1">
        <v>84</v>
      </c>
      <c r="G111" s="1" t="s">
        <v>38</v>
      </c>
      <c r="H111" s="1">
        <v>6</v>
      </c>
      <c r="I111" s="1">
        <v>2.29</v>
      </c>
      <c r="J111" s="1">
        <v>4.6159999999999997</v>
      </c>
      <c r="K111" s="1">
        <v>4.4870000000000001</v>
      </c>
      <c r="L111" s="1">
        <v>0.498</v>
      </c>
      <c r="M111" s="1">
        <v>0.626</v>
      </c>
    </row>
    <row r="112" spans="1:16" x14ac:dyDescent="0.35">
      <c r="A112" s="1" t="s">
        <v>272</v>
      </c>
      <c r="B112" s="1">
        <v>2</v>
      </c>
      <c r="C112" s="1" t="s">
        <v>25</v>
      </c>
      <c r="D112" s="1" t="s">
        <v>26</v>
      </c>
      <c r="E112" s="1">
        <v>3</v>
      </c>
      <c r="F112" s="1">
        <v>85</v>
      </c>
      <c r="G112" s="1" t="s">
        <v>38</v>
      </c>
      <c r="H112" s="1">
        <v>6</v>
      </c>
      <c r="I112" s="1">
        <v>2.1429999999999998</v>
      </c>
      <c r="J112" s="1">
        <v>4.74</v>
      </c>
      <c r="K112" s="1">
        <v>3.7469999999999999</v>
      </c>
      <c r="L112" s="1">
        <v>0.54500000000000004</v>
      </c>
      <c r="M112" s="1">
        <v>0.50900000000000001</v>
      </c>
    </row>
    <row r="113" spans="1:14" x14ac:dyDescent="0.35">
      <c r="A113" s="1" t="s">
        <v>274</v>
      </c>
      <c r="B113" s="1">
        <v>2</v>
      </c>
      <c r="C113" s="1" t="s">
        <v>32</v>
      </c>
      <c r="D113" s="1" t="s">
        <v>247</v>
      </c>
      <c r="E113" s="1">
        <v>3</v>
      </c>
      <c r="F113" s="1">
        <v>85</v>
      </c>
      <c r="G113" s="1" t="s">
        <v>38</v>
      </c>
      <c r="H113" s="1">
        <v>6</v>
      </c>
      <c r="I113" s="1">
        <v>0.65300000000000002</v>
      </c>
      <c r="J113" s="1">
        <v>2.1909999999999998</v>
      </c>
      <c r="K113" s="1" t="s">
        <v>26</v>
      </c>
      <c r="L113" s="1">
        <v>0.152</v>
      </c>
      <c r="M113" s="1">
        <v>0.14599999999999999</v>
      </c>
    </row>
    <row r="114" spans="1:14" x14ac:dyDescent="0.35">
      <c r="A114" s="1" t="s">
        <v>275</v>
      </c>
      <c r="B114" s="1">
        <v>2</v>
      </c>
      <c r="C114" s="1" t="s">
        <v>32</v>
      </c>
      <c r="D114" s="1" t="s">
        <v>33</v>
      </c>
      <c r="E114" s="1">
        <v>3</v>
      </c>
      <c r="F114" s="1">
        <v>85</v>
      </c>
      <c r="G114" s="1" t="s">
        <v>38</v>
      </c>
      <c r="H114" s="1">
        <v>6</v>
      </c>
      <c r="I114" s="1">
        <v>0.90600000000000003</v>
      </c>
      <c r="J114" s="1">
        <v>3.484</v>
      </c>
      <c r="K114" s="1">
        <v>3.4980000000000002</v>
      </c>
      <c r="L114" s="1">
        <v>0.28599999999999998</v>
      </c>
      <c r="M114" s="1">
        <v>0.14199999999999999</v>
      </c>
    </row>
    <row r="115" spans="1:14" x14ac:dyDescent="0.35">
      <c r="A115" s="1" t="s">
        <v>276</v>
      </c>
      <c r="B115" s="1">
        <v>2</v>
      </c>
      <c r="C115" s="1" t="s">
        <v>25</v>
      </c>
      <c r="D115" s="1" t="s">
        <v>26</v>
      </c>
      <c r="E115" s="1">
        <v>3</v>
      </c>
      <c r="F115" s="1">
        <v>86</v>
      </c>
      <c r="G115" s="1" t="s">
        <v>38</v>
      </c>
      <c r="H115" s="1">
        <v>6</v>
      </c>
      <c r="I115" s="1">
        <v>2.1669999999999998</v>
      </c>
      <c r="J115" s="1">
        <v>4.9630000000000001</v>
      </c>
      <c r="K115" s="1" t="s">
        <v>26</v>
      </c>
      <c r="L115" s="1">
        <v>0.47499999999999998</v>
      </c>
      <c r="M115" s="1">
        <v>0.64900000000000002</v>
      </c>
    </row>
    <row r="116" spans="1:14" x14ac:dyDescent="0.35">
      <c r="A116" s="1" t="s">
        <v>278</v>
      </c>
      <c r="B116" s="1">
        <v>2</v>
      </c>
      <c r="C116" s="1" t="s">
        <v>32</v>
      </c>
      <c r="D116" s="1" t="s">
        <v>247</v>
      </c>
      <c r="E116" s="1">
        <v>3</v>
      </c>
      <c r="F116" s="1">
        <v>86</v>
      </c>
      <c r="G116" s="1" t="s">
        <v>38</v>
      </c>
      <c r="H116" s="1">
        <v>6</v>
      </c>
      <c r="I116" s="1">
        <v>0.51700000000000002</v>
      </c>
      <c r="J116" s="1" t="s">
        <v>26</v>
      </c>
      <c r="K116" s="1">
        <v>1.6639999999999999</v>
      </c>
      <c r="L116" s="1">
        <v>0.13900000000000001</v>
      </c>
      <c r="M116" s="1">
        <v>0.105</v>
      </c>
      <c r="N116" s="1" t="s">
        <v>279</v>
      </c>
    </row>
    <row r="117" spans="1:14" x14ac:dyDescent="0.35">
      <c r="A117" s="1" t="s">
        <v>280</v>
      </c>
      <c r="B117" s="1">
        <v>2</v>
      </c>
      <c r="C117" s="1" t="s">
        <v>32</v>
      </c>
      <c r="D117" s="1" t="s">
        <v>247</v>
      </c>
      <c r="E117" s="1">
        <v>3</v>
      </c>
      <c r="F117" s="1">
        <v>86</v>
      </c>
      <c r="G117" s="1" t="s">
        <v>38</v>
      </c>
      <c r="H117" s="1">
        <v>6</v>
      </c>
      <c r="I117" s="1">
        <v>0.68500000000000005</v>
      </c>
      <c r="J117" s="1">
        <v>2.6389999999999998</v>
      </c>
      <c r="K117" s="1" t="s">
        <v>26</v>
      </c>
      <c r="L117" s="1">
        <v>0.20799999999999999</v>
      </c>
      <c r="M117" s="1">
        <v>0.107</v>
      </c>
    </row>
    <row r="118" spans="1:14" x14ac:dyDescent="0.35">
      <c r="A118" s="1" t="s">
        <v>281</v>
      </c>
      <c r="B118" s="1">
        <v>2</v>
      </c>
      <c r="C118" s="1" t="s">
        <v>32</v>
      </c>
      <c r="D118" s="1" t="s">
        <v>33</v>
      </c>
      <c r="E118" s="1">
        <v>3</v>
      </c>
      <c r="F118" s="1">
        <v>86</v>
      </c>
      <c r="G118" s="1" t="s">
        <v>38</v>
      </c>
      <c r="H118" s="1">
        <v>6</v>
      </c>
      <c r="I118" s="1">
        <v>0.66400000000000003</v>
      </c>
      <c r="J118" s="1">
        <v>2.1560000000000001</v>
      </c>
      <c r="K118" s="1">
        <v>2.1389999999999998</v>
      </c>
      <c r="L118" s="1">
        <v>0.2</v>
      </c>
      <c r="M118" s="1">
        <v>0.13500000000000001</v>
      </c>
    </row>
    <row r="119" spans="1:14" x14ac:dyDescent="0.35">
      <c r="A119" s="1" t="s">
        <v>283</v>
      </c>
      <c r="B119" s="1">
        <v>2</v>
      </c>
      <c r="C119" s="1" t="s">
        <v>32</v>
      </c>
      <c r="D119" s="1" t="s">
        <v>247</v>
      </c>
      <c r="E119" s="1">
        <v>3</v>
      </c>
      <c r="F119" s="1">
        <v>86</v>
      </c>
      <c r="G119" s="1" t="s">
        <v>38</v>
      </c>
      <c r="H119" s="1">
        <v>6</v>
      </c>
      <c r="I119" s="1">
        <v>0.63300000000000001</v>
      </c>
      <c r="J119" s="1" t="s">
        <v>26</v>
      </c>
      <c r="K119" s="1" t="s">
        <v>26</v>
      </c>
      <c r="L119" s="1">
        <v>0.17499999999999999</v>
      </c>
      <c r="M119" s="1">
        <v>0.13100000000000001</v>
      </c>
    </row>
    <row r="120" spans="1:14" x14ac:dyDescent="0.35">
      <c r="A120" s="1" t="s">
        <v>284</v>
      </c>
      <c r="B120" s="1">
        <v>2</v>
      </c>
      <c r="C120" s="1" t="s">
        <v>32</v>
      </c>
      <c r="D120" s="1" t="s">
        <v>247</v>
      </c>
      <c r="E120" s="1">
        <v>3</v>
      </c>
      <c r="F120" s="1">
        <v>86</v>
      </c>
      <c r="G120" s="1" t="s">
        <v>38</v>
      </c>
      <c r="H120" s="1">
        <v>6</v>
      </c>
      <c r="I120" s="1">
        <v>0.61</v>
      </c>
      <c r="J120" s="1">
        <v>1.9019999999999999</v>
      </c>
      <c r="K120" s="1">
        <v>1.8260000000000001</v>
      </c>
      <c r="L120" s="1">
        <v>0.16600000000000001</v>
      </c>
      <c r="M120" s="1">
        <v>0.126</v>
      </c>
    </row>
    <row r="121" spans="1:14" x14ac:dyDescent="0.35">
      <c r="A121" s="1" t="s">
        <v>285</v>
      </c>
      <c r="B121" s="1">
        <v>2</v>
      </c>
      <c r="C121" s="1" t="s">
        <v>32</v>
      </c>
      <c r="D121" s="1" t="s">
        <v>247</v>
      </c>
      <c r="E121" s="1">
        <v>3</v>
      </c>
      <c r="F121" s="1">
        <v>86</v>
      </c>
      <c r="G121" s="1" t="s">
        <v>38</v>
      </c>
      <c r="H121" s="1">
        <v>6</v>
      </c>
      <c r="I121" s="1">
        <v>0.58499999999999996</v>
      </c>
      <c r="J121" s="1">
        <v>1.79</v>
      </c>
      <c r="K121" s="1">
        <v>1.78</v>
      </c>
      <c r="L121" s="1">
        <v>0.191</v>
      </c>
      <c r="M121" s="1">
        <v>0.13300000000000001</v>
      </c>
    </row>
    <row r="122" spans="1:14" x14ac:dyDescent="0.35">
      <c r="A122" s="1" t="s">
        <v>286</v>
      </c>
      <c r="B122" s="1">
        <v>2</v>
      </c>
      <c r="C122" s="1" t="s">
        <v>32</v>
      </c>
      <c r="D122" s="1" t="s">
        <v>247</v>
      </c>
      <c r="E122" s="1">
        <v>3</v>
      </c>
      <c r="F122" s="1">
        <v>86</v>
      </c>
      <c r="G122" s="1" t="s">
        <v>38</v>
      </c>
      <c r="H122" s="1">
        <v>6</v>
      </c>
      <c r="I122" s="1">
        <v>0.66100000000000003</v>
      </c>
      <c r="J122" s="1">
        <v>2.3149999999999999</v>
      </c>
      <c r="K122" s="1" t="s">
        <v>26</v>
      </c>
      <c r="L122" s="1">
        <v>0.182</v>
      </c>
      <c r="M122" s="1">
        <v>0.112</v>
      </c>
    </row>
    <row r="123" spans="1:14" x14ac:dyDescent="0.35">
      <c r="A123" s="1" t="s">
        <v>287</v>
      </c>
      <c r="B123" s="1">
        <v>2</v>
      </c>
      <c r="C123" s="1" t="s">
        <v>32</v>
      </c>
      <c r="D123" s="1" t="s">
        <v>247</v>
      </c>
      <c r="E123" s="1">
        <v>3</v>
      </c>
      <c r="F123" s="1">
        <v>86</v>
      </c>
      <c r="G123" s="1" t="s">
        <v>38</v>
      </c>
      <c r="H123" s="1">
        <v>6</v>
      </c>
      <c r="I123" s="1">
        <v>0.65800000000000003</v>
      </c>
      <c r="J123" s="1" t="s">
        <v>26</v>
      </c>
      <c r="K123" s="1">
        <v>2.407</v>
      </c>
      <c r="L123" s="1">
        <v>0.192</v>
      </c>
      <c r="M123" s="1">
        <v>0.13200000000000001</v>
      </c>
    </row>
    <row r="124" spans="1:14" x14ac:dyDescent="0.35">
      <c r="A124" s="1" t="s">
        <v>288</v>
      </c>
      <c r="B124" s="1">
        <v>2</v>
      </c>
      <c r="C124" s="1" t="s">
        <v>25</v>
      </c>
      <c r="D124" s="1" t="s">
        <v>26</v>
      </c>
      <c r="E124" s="1">
        <v>3</v>
      </c>
      <c r="F124" s="1">
        <v>87</v>
      </c>
      <c r="G124" s="1" t="s">
        <v>38</v>
      </c>
      <c r="H124" s="1">
        <v>6</v>
      </c>
      <c r="I124" s="1">
        <v>1.8240000000000001</v>
      </c>
      <c r="J124" s="1">
        <v>5.0720000000000001</v>
      </c>
      <c r="K124" s="1">
        <v>5.14</v>
      </c>
      <c r="L124" s="1">
        <v>0.51200000000000001</v>
      </c>
      <c r="M124" s="1">
        <v>0.34100000000000003</v>
      </c>
    </row>
    <row r="125" spans="1:14" x14ac:dyDescent="0.35">
      <c r="A125" s="1" t="s">
        <v>290</v>
      </c>
      <c r="B125" s="1">
        <v>2</v>
      </c>
      <c r="C125" s="1" t="s">
        <v>25</v>
      </c>
      <c r="D125" s="1" t="s">
        <v>26</v>
      </c>
      <c r="E125" s="1">
        <v>3</v>
      </c>
      <c r="F125" s="1">
        <v>88</v>
      </c>
      <c r="G125" s="1" t="s">
        <v>38</v>
      </c>
      <c r="H125" s="1">
        <v>7</v>
      </c>
      <c r="I125" s="1">
        <v>1.3140000000000001</v>
      </c>
      <c r="J125" s="1">
        <v>3.69</v>
      </c>
      <c r="K125" s="1" t="s">
        <v>26</v>
      </c>
      <c r="L125" s="1">
        <v>0.38400000000000001</v>
      </c>
      <c r="M125" s="1">
        <v>0.27200000000000002</v>
      </c>
    </row>
    <row r="126" spans="1:14" x14ac:dyDescent="0.35">
      <c r="A126" s="1" t="s">
        <v>292</v>
      </c>
      <c r="B126" s="1">
        <v>2</v>
      </c>
      <c r="C126" s="1" t="s">
        <v>32</v>
      </c>
      <c r="D126" s="1" t="s">
        <v>33</v>
      </c>
      <c r="E126" s="1">
        <v>3</v>
      </c>
      <c r="F126" s="1">
        <v>88</v>
      </c>
      <c r="G126" s="1" t="s">
        <v>38</v>
      </c>
      <c r="H126" s="1">
        <v>7</v>
      </c>
      <c r="I126" s="1">
        <v>0.62</v>
      </c>
      <c r="J126" s="1" t="s">
        <v>26</v>
      </c>
      <c r="K126" s="1">
        <v>2.0960000000000001</v>
      </c>
      <c r="L126" s="1">
        <v>0.16600000000000001</v>
      </c>
      <c r="M126" s="1">
        <v>0.126</v>
      </c>
    </row>
    <row r="127" spans="1:14" x14ac:dyDescent="0.35">
      <c r="A127" s="1" t="s">
        <v>293</v>
      </c>
      <c r="B127" s="1">
        <v>2</v>
      </c>
      <c r="C127" s="1" t="s">
        <v>25</v>
      </c>
      <c r="D127" s="1" t="s">
        <v>26</v>
      </c>
      <c r="E127" s="1">
        <v>3</v>
      </c>
      <c r="F127" s="1">
        <v>89</v>
      </c>
      <c r="G127" s="1" t="s">
        <v>38</v>
      </c>
      <c r="H127" s="1">
        <v>7</v>
      </c>
      <c r="I127" s="1">
        <v>1.2789999999999999</v>
      </c>
      <c r="J127" s="1">
        <v>2.9990000000000001</v>
      </c>
      <c r="K127" s="1">
        <v>3.2290000000000001</v>
      </c>
      <c r="L127" s="1">
        <v>0.34300000000000003</v>
      </c>
      <c r="M127" s="1">
        <v>0.27100000000000002</v>
      </c>
    </row>
    <row r="128" spans="1:14" x14ac:dyDescent="0.35">
      <c r="A128" s="1" t="s">
        <v>295</v>
      </c>
      <c r="B128" s="1">
        <v>2</v>
      </c>
      <c r="C128" s="1" t="s">
        <v>25</v>
      </c>
      <c r="D128" s="1" t="s">
        <v>26</v>
      </c>
      <c r="E128" s="1">
        <v>3</v>
      </c>
      <c r="F128" s="1">
        <v>90</v>
      </c>
      <c r="G128" s="1" t="s">
        <v>38</v>
      </c>
      <c r="H128" s="1">
        <v>7</v>
      </c>
      <c r="I128" s="1">
        <v>2.141</v>
      </c>
      <c r="J128" s="1">
        <v>5.008</v>
      </c>
      <c r="K128" s="1" t="s">
        <v>26</v>
      </c>
      <c r="L128" s="1">
        <v>0.48299999999999998</v>
      </c>
      <c r="M128" s="1">
        <v>0.47</v>
      </c>
      <c r="N128" s="1" t="s">
        <v>266</v>
      </c>
    </row>
    <row r="129" spans="1:14" x14ac:dyDescent="0.35">
      <c r="A129" s="1" t="s">
        <v>297</v>
      </c>
      <c r="B129" s="1">
        <v>2</v>
      </c>
      <c r="C129" s="1" t="s">
        <v>32</v>
      </c>
      <c r="D129" s="1" t="s">
        <v>33</v>
      </c>
      <c r="E129" s="1">
        <v>3</v>
      </c>
      <c r="F129" s="1">
        <v>90</v>
      </c>
      <c r="G129" s="1" t="s">
        <v>38</v>
      </c>
      <c r="H129" s="1">
        <v>7</v>
      </c>
      <c r="I129" s="1">
        <v>0.84299999999999997</v>
      </c>
      <c r="J129" s="1">
        <v>3.0139999999999998</v>
      </c>
      <c r="K129" s="1">
        <v>2.984</v>
      </c>
      <c r="L129" s="1">
        <v>0.26700000000000002</v>
      </c>
      <c r="M129" s="1">
        <v>0.14799999999999999</v>
      </c>
    </row>
    <row r="130" spans="1:14" x14ac:dyDescent="0.35">
      <c r="A130" s="1" t="s">
        <v>298</v>
      </c>
      <c r="B130" s="1">
        <v>2</v>
      </c>
      <c r="C130" s="1" t="s">
        <v>32</v>
      </c>
      <c r="D130" s="1" t="s">
        <v>247</v>
      </c>
      <c r="E130" s="1">
        <v>3</v>
      </c>
      <c r="F130" s="1">
        <v>90</v>
      </c>
      <c r="G130" s="1" t="s">
        <v>38</v>
      </c>
      <c r="H130" s="1">
        <v>7</v>
      </c>
      <c r="I130" s="1">
        <v>0.67500000000000004</v>
      </c>
      <c r="J130" s="1">
        <v>2.4529999999999998</v>
      </c>
      <c r="K130" s="1">
        <v>2.5179999999999998</v>
      </c>
      <c r="L130" s="1">
        <v>0.24199999999999999</v>
      </c>
      <c r="M130" s="1">
        <v>0.17299999999999999</v>
      </c>
    </row>
    <row r="131" spans="1:14" x14ac:dyDescent="0.35">
      <c r="A131" s="1" t="s">
        <v>299</v>
      </c>
      <c r="B131" s="1">
        <v>2</v>
      </c>
      <c r="C131" s="1" t="s">
        <v>25</v>
      </c>
      <c r="D131" s="1" t="s">
        <v>26</v>
      </c>
      <c r="E131" s="1">
        <v>6</v>
      </c>
      <c r="F131" s="1">
        <v>91</v>
      </c>
      <c r="G131" s="1" t="s">
        <v>38</v>
      </c>
      <c r="H131" s="1">
        <v>8</v>
      </c>
      <c r="I131" s="1">
        <v>1.347</v>
      </c>
      <c r="J131" s="1">
        <v>3.1520000000000001</v>
      </c>
      <c r="K131" s="1">
        <v>3.2250000000000001</v>
      </c>
      <c r="L131" s="1">
        <v>0.35699999999999998</v>
      </c>
      <c r="M131" s="1">
        <v>0.24099999999999999</v>
      </c>
    </row>
    <row r="132" spans="1:14" x14ac:dyDescent="0.35">
      <c r="A132" s="1" t="s">
        <v>301</v>
      </c>
      <c r="B132" s="1">
        <v>2</v>
      </c>
      <c r="C132" s="1" t="s">
        <v>32</v>
      </c>
      <c r="D132" s="1" t="s">
        <v>33</v>
      </c>
      <c r="E132" s="1">
        <v>6</v>
      </c>
      <c r="F132" s="1">
        <v>92</v>
      </c>
      <c r="G132" s="1" t="s">
        <v>38</v>
      </c>
      <c r="H132" s="1">
        <v>8</v>
      </c>
      <c r="I132" s="1">
        <v>0.627</v>
      </c>
      <c r="J132" s="1">
        <v>2.2370000000000001</v>
      </c>
      <c r="K132" s="1" t="s">
        <v>26</v>
      </c>
      <c r="L132" s="1">
        <v>0.191</v>
      </c>
      <c r="M132" s="1">
        <v>0.11899999999999999</v>
      </c>
    </row>
    <row r="133" spans="1:14" x14ac:dyDescent="0.35">
      <c r="A133" s="1" t="s">
        <v>302</v>
      </c>
      <c r="B133" s="1">
        <v>2</v>
      </c>
      <c r="C133" s="1" t="s">
        <v>25</v>
      </c>
      <c r="D133" s="1" t="s">
        <v>26</v>
      </c>
      <c r="E133" s="1">
        <v>6</v>
      </c>
      <c r="F133" s="1">
        <v>92</v>
      </c>
      <c r="G133" s="1" t="s">
        <v>38</v>
      </c>
      <c r="H133" s="1">
        <v>8</v>
      </c>
      <c r="I133" s="1">
        <v>1.623</v>
      </c>
      <c r="J133" s="1">
        <v>5.2080000000000002</v>
      </c>
      <c r="K133" s="1">
        <v>5.0780000000000003</v>
      </c>
      <c r="L133" s="1">
        <v>0.58399999999999996</v>
      </c>
      <c r="M133" s="1">
        <v>0.48</v>
      </c>
    </row>
    <row r="134" spans="1:14" x14ac:dyDescent="0.35">
      <c r="A134" s="1" t="s">
        <v>312</v>
      </c>
      <c r="B134" s="1">
        <v>2</v>
      </c>
      <c r="C134" s="1" t="s">
        <v>25</v>
      </c>
      <c r="D134" s="1" t="s">
        <v>26</v>
      </c>
      <c r="E134" s="1">
        <v>6</v>
      </c>
      <c r="F134" s="1">
        <v>94</v>
      </c>
      <c r="G134" s="1" t="s">
        <v>38</v>
      </c>
      <c r="H134" s="1">
        <v>8</v>
      </c>
      <c r="I134" s="1">
        <v>2.0960000000000001</v>
      </c>
      <c r="J134" s="1">
        <v>4.7270000000000003</v>
      </c>
      <c r="K134" s="1">
        <v>4.7590000000000003</v>
      </c>
      <c r="L134" s="1">
        <v>0.502</v>
      </c>
      <c r="M134" s="1">
        <v>0.53900000000000003</v>
      </c>
    </row>
    <row r="135" spans="1:14" x14ac:dyDescent="0.35">
      <c r="A135" s="1" t="s">
        <v>314</v>
      </c>
      <c r="B135" s="1">
        <v>2</v>
      </c>
      <c r="C135" s="1" t="s">
        <v>32</v>
      </c>
      <c r="D135" s="1" t="s">
        <v>33</v>
      </c>
      <c r="E135" s="1">
        <v>6</v>
      </c>
      <c r="F135" s="1">
        <v>94</v>
      </c>
      <c r="G135" s="1" t="s">
        <v>38</v>
      </c>
      <c r="H135" s="1">
        <v>8</v>
      </c>
      <c r="I135" s="1">
        <v>0.65800000000000003</v>
      </c>
      <c r="J135" s="1">
        <v>2.5680000000000001</v>
      </c>
      <c r="K135" s="1">
        <v>2.673</v>
      </c>
      <c r="L135" s="1">
        <v>0.21299999999999999</v>
      </c>
      <c r="M135" s="1">
        <v>0.13300000000000001</v>
      </c>
    </row>
    <row r="136" spans="1:14" x14ac:dyDescent="0.35">
      <c r="A136" s="1" t="s">
        <v>315</v>
      </c>
      <c r="B136" s="1">
        <v>2</v>
      </c>
      <c r="C136" s="1" t="s">
        <v>32</v>
      </c>
      <c r="D136" s="1" t="s">
        <v>247</v>
      </c>
      <c r="E136" s="1">
        <v>6</v>
      </c>
      <c r="F136" s="1">
        <v>94</v>
      </c>
      <c r="G136" s="1" t="s">
        <v>38</v>
      </c>
      <c r="H136" s="1">
        <v>8</v>
      </c>
      <c r="I136" s="1">
        <v>0.68100000000000005</v>
      </c>
      <c r="J136" s="1">
        <v>1.931</v>
      </c>
      <c r="K136" s="1">
        <v>2.359</v>
      </c>
      <c r="L136" s="1">
        <v>0.22700000000000001</v>
      </c>
      <c r="M136" s="1">
        <v>0.121</v>
      </c>
    </row>
    <row r="137" spans="1:14" x14ac:dyDescent="0.35">
      <c r="A137" s="1" t="s">
        <v>316</v>
      </c>
      <c r="B137" s="1">
        <v>2</v>
      </c>
      <c r="C137" s="1" t="s">
        <v>32</v>
      </c>
      <c r="D137" s="1" t="s">
        <v>247</v>
      </c>
      <c r="E137" s="1">
        <v>6</v>
      </c>
      <c r="F137" s="1">
        <v>94</v>
      </c>
      <c r="G137" s="1" t="s">
        <v>38</v>
      </c>
      <c r="H137" s="1">
        <v>8</v>
      </c>
      <c r="I137" s="1">
        <v>0.64200000000000002</v>
      </c>
      <c r="J137" s="1">
        <v>1.9279999999999999</v>
      </c>
      <c r="K137" s="1">
        <v>1.849</v>
      </c>
      <c r="L137" s="1">
        <v>0.17100000000000001</v>
      </c>
      <c r="M137" s="1">
        <v>0.127</v>
      </c>
    </row>
    <row r="138" spans="1:14" x14ac:dyDescent="0.35">
      <c r="A138" s="1" t="s">
        <v>317</v>
      </c>
      <c r="B138" s="1">
        <v>2</v>
      </c>
      <c r="C138" s="1" t="s">
        <v>32</v>
      </c>
      <c r="D138" s="1" t="s">
        <v>247</v>
      </c>
      <c r="E138" s="1">
        <v>6</v>
      </c>
      <c r="F138" s="1">
        <v>94</v>
      </c>
      <c r="G138" s="1" t="s">
        <v>38</v>
      </c>
      <c r="H138" s="1">
        <v>8</v>
      </c>
      <c r="I138" s="1">
        <v>0.58399999999999996</v>
      </c>
      <c r="J138" s="1">
        <v>2.0379999999999998</v>
      </c>
      <c r="K138" s="1">
        <v>1.871</v>
      </c>
      <c r="L138" s="1">
        <v>0.16900000000000001</v>
      </c>
      <c r="M138" s="1">
        <v>0.11799999999999999</v>
      </c>
      <c r="N138" s="1" t="s">
        <v>266</v>
      </c>
    </row>
    <row r="139" spans="1:14" x14ac:dyDescent="0.35">
      <c r="A139" s="1" t="s">
        <v>323</v>
      </c>
      <c r="B139" s="1">
        <v>2</v>
      </c>
      <c r="C139" s="1" t="s">
        <v>32</v>
      </c>
      <c r="D139" s="1" t="s">
        <v>247</v>
      </c>
      <c r="E139" s="1">
        <v>1</v>
      </c>
      <c r="F139" s="1">
        <v>95</v>
      </c>
      <c r="G139" s="1" t="s">
        <v>38</v>
      </c>
      <c r="H139" s="1">
        <v>9</v>
      </c>
      <c r="I139" s="1">
        <v>0.57199999999999995</v>
      </c>
      <c r="J139" s="1">
        <v>1.7070000000000001</v>
      </c>
      <c r="K139" s="1">
        <v>1.8560000000000001</v>
      </c>
      <c r="L139" s="1">
        <v>0.14299999999999999</v>
      </c>
      <c r="M139" s="1">
        <v>0.11</v>
      </c>
    </row>
    <row r="140" spans="1:14" x14ac:dyDescent="0.35">
      <c r="A140" s="1" t="s">
        <v>324</v>
      </c>
      <c r="B140" s="1">
        <v>2</v>
      </c>
      <c r="C140" s="1" t="s">
        <v>32</v>
      </c>
      <c r="D140" s="1" t="s">
        <v>33</v>
      </c>
      <c r="E140" s="1">
        <v>1</v>
      </c>
      <c r="F140" s="1">
        <v>95</v>
      </c>
      <c r="G140" s="1" t="s">
        <v>38</v>
      </c>
      <c r="H140" s="1">
        <v>9</v>
      </c>
      <c r="I140" s="1">
        <v>0.59499999999999997</v>
      </c>
      <c r="J140" s="1">
        <v>2.2770000000000001</v>
      </c>
      <c r="K140" s="1" t="s">
        <v>26</v>
      </c>
      <c r="L140" s="1">
        <v>0.17599999999999999</v>
      </c>
      <c r="M140" s="1">
        <v>0.11700000000000001</v>
      </c>
    </row>
    <row r="141" spans="1:14" x14ac:dyDescent="0.35">
      <c r="A141" s="1" t="s">
        <v>325</v>
      </c>
      <c r="B141" s="1">
        <v>2</v>
      </c>
      <c r="C141" s="1" t="s">
        <v>25</v>
      </c>
      <c r="D141" s="1" t="s">
        <v>26</v>
      </c>
      <c r="E141" s="1">
        <v>1</v>
      </c>
      <c r="F141" s="1">
        <v>95</v>
      </c>
      <c r="G141" s="1" t="s">
        <v>38</v>
      </c>
      <c r="H141" s="1">
        <v>9</v>
      </c>
      <c r="I141" s="1">
        <v>2.0059999999999998</v>
      </c>
      <c r="J141" s="1">
        <v>5.3490000000000002</v>
      </c>
      <c r="K141" s="1">
        <v>5.3490000000000002</v>
      </c>
      <c r="L141" s="1">
        <v>0.57099999999999995</v>
      </c>
      <c r="M141" s="1">
        <v>0.35</v>
      </c>
    </row>
    <row r="142" spans="1:14" x14ac:dyDescent="0.35">
      <c r="A142" s="1" t="s">
        <v>327</v>
      </c>
      <c r="B142" s="1">
        <v>2</v>
      </c>
      <c r="C142" s="1" t="s">
        <v>25</v>
      </c>
      <c r="D142" s="1" t="s">
        <v>26</v>
      </c>
      <c r="E142" s="1">
        <v>1</v>
      </c>
      <c r="F142" s="1">
        <v>96</v>
      </c>
      <c r="G142" s="1" t="s">
        <v>38</v>
      </c>
      <c r="H142" s="1">
        <v>9</v>
      </c>
      <c r="I142" s="1">
        <v>2.13</v>
      </c>
      <c r="J142" s="1">
        <v>4.5940000000000003</v>
      </c>
      <c r="K142" s="1">
        <v>4.6790000000000003</v>
      </c>
      <c r="L142" s="1">
        <v>0.51900000000000002</v>
      </c>
      <c r="M142" s="1">
        <v>0.47</v>
      </c>
    </row>
    <row r="143" spans="1:14" x14ac:dyDescent="0.35">
      <c r="A143" s="1" t="s">
        <v>329</v>
      </c>
      <c r="B143" s="1">
        <v>2</v>
      </c>
      <c r="C143" s="1" t="s">
        <v>25</v>
      </c>
      <c r="D143" s="1" t="s">
        <v>26</v>
      </c>
      <c r="E143" s="1">
        <v>1</v>
      </c>
      <c r="F143" s="1">
        <v>97</v>
      </c>
      <c r="G143" s="1" t="s">
        <v>38</v>
      </c>
      <c r="H143" s="1">
        <v>9</v>
      </c>
      <c r="I143" s="1">
        <v>1.3879999999999999</v>
      </c>
      <c r="J143" s="1" t="s">
        <v>26</v>
      </c>
      <c r="K143" s="1">
        <v>3.452</v>
      </c>
      <c r="L143" s="1">
        <v>0.34899999999999998</v>
      </c>
      <c r="M143" s="1">
        <v>0.22900000000000001</v>
      </c>
    </row>
    <row r="144" spans="1:14" x14ac:dyDescent="0.35">
      <c r="A144" s="1" t="s">
        <v>331</v>
      </c>
      <c r="B144" s="1">
        <v>2</v>
      </c>
      <c r="C144" s="1" t="s">
        <v>32</v>
      </c>
      <c r="D144" s="1" t="s">
        <v>33</v>
      </c>
      <c r="E144" s="1">
        <v>1</v>
      </c>
      <c r="F144" s="1">
        <v>97</v>
      </c>
      <c r="G144" s="1" t="s">
        <v>38</v>
      </c>
      <c r="H144" s="1">
        <v>9</v>
      </c>
      <c r="I144" s="1">
        <v>0.56000000000000005</v>
      </c>
      <c r="J144" s="1">
        <v>1.958</v>
      </c>
      <c r="K144" s="1">
        <v>1.972</v>
      </c>
      <c r="L144" s="1">
        <v>0.184</v>
      </c>
      <c r="M144" s="1">
        <v>8.7999999999999995E-2</v>
      </c>
    </row>
    <row r="145" spans="1:17" x14ac:dyDescent="0.35">
      <c r="A145" s="1" t="s">
        <v>332</v>
      </c>
      <c r="B145" s="1">
        <v>2</v>
      </c>
      <c r="C145" s="1" t="s">
        <v>32</v>
      </c>
      <c r="D145" s="1" t="s">
        <v>33</v>
      </c>
      <c r="E145" s="1">
        <v>1</v>
      </c>
      <c r="F145" s="1">
        <v>98</v>
      </c>
      <c r="G145" s="1" t="s">
        <v>38</v>
      </c>
      <c r="H145" s="1">
        <v>9</v>
      </c>
      <c r="I145" s="1">
        <v>0.7</v>
      </c>
      <c r="J145" s="1">
        <v>2.2349999999999999</v>
      </c>
      <c r="K145" s="1">
        <v>2.0409999999999999</v>
      </c>
      <c r="L145" s="1">
        <v>0.20599999999999999</v>
      </c>
      <c r="M145" s="1">
        <v>0.129</v>
      </c>
    </row>
    <row r="146" spans="1:17" x14ac:dyDescent="0.35">
      <c r="A146" s="1" t="s">
        <v>333</v>
      </c>
      <c r="B146" s="1">
        <v>2</v>
      </c>
      <c r="C146" s="1" t="s">
        <v>25</v>
      </c>
      <c r="D146" s="1" t="s">
        <v>26</v>
      </c>
      <c r="E146" s="1">
        <v>1</v>
      </c>
      <c r="F146" s="1">
        <v>98</v>
      </c>
      <c r="G146" s="1" t="s">
        <v>38</v>
      </c>
      <c r="H146" s="1">
        <v>9</v>
      </c>
      <c r="I146" s="1">
        <v>1.74</v>
      </c>
      <c r="J146" s="1">
        <v>3.87</v>
      </c>
      <c r="K146" s="1">
        <v>3.843</v>
      </c>
      <c r="L146" s="1">
        <v>0.33300000000000002</v>
      </c>
      <c r="M146" s="1">
        <v>0.26100000000000001</v>
      </c>
    </row>
    <row r="147" spans="1:17" x14ac:dyDescent="0.35">
      <c r="A147" s="1" t="s">
        <v>335</v>
      </c>
      <c r="B147" s="1">
        <v>2</v>
      </c>
      <c r="C147" s="1" t="s">
        <v>25</v>
      </c>
      <c r="D147" s="1" t="s">
        <v>26</v>
      </c>
      <c r="E147" s="1">
        <v>1</v>
      </c>
      <c r="F147" s="1">
        <v>99</v>
      </c>
      <c r="G147" s="1" t="s">
        <v>38</v>
      </c>
      <c r="H147" s="1">
        <v>9</v>
      </c>
      <c r="I147" s="1">
        <v>1.6020000000000001</v>
      </c>
      <c r="J147" s="1">
        <v>3.86</v>
      </c>
      <c r="K147" s="1">
        <v>3.899</v>
      </c>
      <c r="L147" s="1">
        <v>0.40100000000000002</v>
      </c>
      <c r="M147" s="1">
        <v>0.318</v>
      </c>
    </row>
    <row r="148" spans="1:17" x14ac:dyDescent="0.35">
      <c r="A148" s="1" t="s">
        <v>337</v>
      </c>
      <c r="B148" s="1">
        <v>2</v>
      </c>
      <c r="C148" s="1" t="s">
        <v>32</v>
      </c>
      <c r="D148" s="1" t="s">
        <v>33</v>
      </c>
      <c r="E148" s="1">
        <v>1</v>
      </c>
      <c r="F148" s="1">
        <v>99</v>
      </c>
      <c r="G148" s="1" t="s">
        <v>38</v>
      </c>
      <c r="H148" s="1">
        <v>9</v>
      </c>
      <c r="I148" s="1">
        <v>0.72</v>
      </c>
      <c r="J148" s="1">
        <v>2.3780000000000001</v>
      </c>
      <c r="K148" s="1">
        <v>2.4369999999999998</v>
      </c>
      <c r="L148" s="1">
        <v>0.216</v>
      </c>
      <c r="M148" s="1">
        <v>0.13</v>
      </c>
      <c r="N148" s="1" t="s">
        <v>266</v>
      </c>
    </row>
    <row r="149" spans="1:17" x14ac:dyDescent="0.35">
      <c r="A149" s="1" t="s">
        <v>338</v>
      </c>
      <c r="B149" s="1">
        <v>2</v>
      </c>
      <c r="C149" s="1" t="s">
        <v>32</v>
      </c>
      <c r="D149" s="1" t="s">
        <v>247</v>
      </c>
      <c r="E149" s="1">
        <v>1</v>
      </c>
      <c r="F149" s="1">
        <v>99</v>
      </c>
      <c r="G149" s="1" t="s">
        <v>38</v>
      </c>
      <c r="H149" s="1">
        <v>9</v>
      </c>
      <c r="I149" s="1">
        <v>0.64900000000000002</v>
      </c>
      <c r="J149" s="1">
        <v>2.0390000000000001</v>
      </c>
      <c r="K149" s="1">
        <v>2.012</v>
      </c>
      <c r="L149" s="1">
        <v>0.19700000000000001</v>
      </c>
      <c r="M149" s="1">
        <v>0.125</v>
      </c>
    </row>
    <row r="150" spans="1:17" x14ac:dyDescent="0.35">
      <c r="A150" s="1" t="s">
        <v>339</v>
      </c>
      <c r="B150" s="1">
        <v>2</v>
      </c>
      <c r="C150" s="1" t="s">
        <v>25</v>
      </c>
      <c r="D150" s="1" t="s">
        <v>26</v>
      </c>
      <c r="E150" s="1">
        <v>1</v>
      </c>
      <c r="F150" s="1">
        <v>100</v>
      </c>
      <c r="G150" s="1" t="s">
        <v>38</v>
      </c>
      <c r="H150" s="1">
        <v>10</v>
      </c>
      <c r="I150" s="1">
        <v>1.919</v>
      </c>
      <c r="J150" s="1">
        <v>4.5869999999999997</v>
      </c>
      <c r="K150" s="1">
        <v>4.3940000000000001</v>
      </c>
      <c r="L150" s="1">
        <v>0.51</v>
      </c>
      <c r="M150" s="1">
        <v>0.46800000000000003</v>
      </c>
    </row>
    <row r="151" spans="1:17" x14ac:dyDescent="0.35">
      <c r="A151" s="1" t="s">
        <v>341</v>
      </c>
      <c r="B151" s="1">
        <v>2</v>
      </c>
      <c r="C151" s="1" t="s">
        <v>32</v>
      </c>
      <c r="D151" s="1" t="s">
        <v>33</v>
      </c>
      <c r="E151" s="1">
        <v>1</v>
      </c>
      <c r="F151" s="1">
        <v>100</v>
      </c>
      <c r="G151" s="1" t="s">
        <v>38</v>
      </c>
      <c r="H151" s="1">
        <v>10</v>
      </c>
      <c r="I151" s="1">
        <v>0.64800000000000002</v>
      </c>
      <c r="J151" s="1">
        <v>2.4039999999999999</v>
      </c>
      <c r="K151" s="1">
        <v>2.395</v>
      </c>
      <c r="L151" s="1">
        <v>0.18</v>
      </c>
      <c r="M151" s="1">
        <v>0.121</v>
      </c>
    </row>
    <row r="152" spans="1:17" x14ac:dyDescent="0.35">
      <c r="A152" s="1" t="s">
        <v>345</v>
      </c>
      <c r="B152" s="1">
        <v>2</v>
      </c>
      <c r="C152" s="1" t="s">
        <v>32</v>
      </c>
      <c r="D152" s="1" t="s">
        <v>33</v>
      </c>
      <c r="E152" s="1">
        <v>1</v>
      </c>
      <c r="F152" s="1">
        <v>102</v>
      </c>
      <c r="G152" s="1" t="s">
        <v>38</v>
      </c>
      <c r="H152" s="1">
        <v>10</v>
      </c>
      <c r="I152" s="1">
        <v>0.62</v>
      </c>
      <c r="J152" s="1">
        <v>2.3559999999999999</v>
      </c>
      <c r="K152" s="1">
        <v>2.0430000000000001</v>
      </c>
      <c r="L152" s="1">
        <v>0.17899999999999999</v>
      </c>
      <c r="M152" s="1">
        <v>0.104</v>
      </c>
    </row>
    <row r="153" spans="1:17" x14ac:dyDescent="0.35">
      <c r="A153" s="1" t="s">
        <v>346</v>
      </c>
      <c r="B153" s="1">
        <v>2</v>
      </c>
      <c r="C153" s="1" t="s">
        <v>25</v>
      </c>
      <c r="D153" s="1" t="s">
        <v>26</v>
      </c>
      <c r="E153" s="1">
        <v>1</v>
      </c>
      <c r="F153" s="1">
        <v>102</v>
      </c>
      <c r="G153" s="1" t="s">
        <v>38</v>
      </c>
      <c r="H153" s="1">
        <v>10</v>
      </c>
      <c r="I153" s="1">
        <v>2.2930000000000001</v>
      </c>
      <c r="J153" s="1">
        <v>4.8540000000000001</v>
      </c>
      <c r="K153" s="1">
        <v>4.7009999999999996</v>
      </c>
      <c r="L153" s="1">
        <v>0.50800000000000001</v>
      </c>
      <c r="M153" s="1">
        <v>0.45700000000000002</v>
      </c>
    </row>
    <row r="154" spans="1:17" x14ac:dyDescent="0.35">
      <c r="A154" s="1" t="s">
        <v>348</v>
      </c>
      <c r="B154" s="1">
        <v>2</v>
      </c>
      <c r="C154" s="1" t="s">
        <v>25</v>
      </c>
      <c r="D154" s="1" t="s">
        <v>26</v>
      </c>
      <c r="E154" s="1">
        <v>1</v>
      </c>
      <c r="F154" s="1">
        <v>103</v>
      </c>
      <c r="G154" s="1" t="s">
        <v>38</v>
      </c>
      <c r="H154" s="1">
        <v>10</v>
      </c>
      <c r="I154" s="1">
        <v>1.4</v>
      </c>
      <c r="J154" s="1">
        <v>3.6520000000000001</v>
      </c>
      <c r="K154" s="1">
        <v>3.629</v>
      </c>
      <c r="L154" s="1">
        <v>0.39700000000000002</v>
      </c>
      <c r="M154" s="1" t="s">
        <v>26</v>
      </c>
    </row>
    <row r="155" spans="1:17" x14ac:dyDescent="0.35">
      <c r="A155" s="1" t="s">
        <v>350</v>
      </c>
      <c r="B155" s="1">
        <v>2</v>
      </c>
      <c r="C155" s="1" t="s">
        <v>32</v>
      </c>
      <c r="D155" s="1" t="s">
        <v>33</v>
      </c>
      <c r="E155" s="1">
        <v>1</v>
      </c>
      <c r="F155" s="1">
        <v>103</v>
      </c>
      <c r="G155" s="1" t="s">
        <v>38</v>
      </c>
      <c r="H155" s="1">
        <v>10</v>
      </c>
      <c r="I155" s="1">
        <v>0.56999999999999995</v>
      </c>
      <c r="J155" s="1">
        <v>2.0409999999999999</v>
      </c>
      <c r="K155" s="1">
        <v>1.996</v>
      </c>
      <c r="L155" s="1">
        <v>0.19700000000000001</v>
      </c>
      <c r="M155" s="1">
        <v>0.11799999999999999</v>
      </c>
    </row>
    <row r="156" spans="1:17" x14ac:dyDescent="0.35">
      <c r="A156" s="1" t="s">
        <v>351</v>
      </c>
      <c r="B156" s="1">
        <v>2</v>
      </c>
      <c r="C156" s="1" t="s">
        <v>25</v>
      </c>
      <c r="D156" s="1" t="s">
        <v>26</v>
      </c>
      <c r="E156" s="1">
        <v>1</v>
      </c>
      <c r="F156" s="1">
        <v>104</v>
      </c>
      <c r="G156" s="1" t="s">
        <v>38</v>
      </c>
      <c r="H156" s="1">
        <v>11</v>
      </c>
      <c r="I156" s="1">
        <v>1.738</v>
      </c>
      <c r="J156" s="1">
        <v>4.47</v>
      </c>
      <c r="K156" s="1">
        <v>4.335</v>
      </c>
      <c r="L156" s="1">
        <v>0.437</v>
      </c>
      <c r="M156" s="1" t="s">
        <v>26</v>
      </c>
    </row>
    <row r="157" spans="1:17" x14ac:dyDescent="0.35">
      <c r="A157" s="1" t="s">
        <v>353</v>
      </c>
      <c r="B157" s="1">
        <v>2</v>
      </c>
      <c r="C157" s="1" t="s">
        <v>32</v>
      </c>
      <c r="D157" s="1" t="s">
        <v>33</v>
      </c>
      <c r="E157" s="1">
        <v>1</v>
      </c>
      <c r="F157" s="1">
        <v>104</v>
      </c>
      <c r="G157" s="1" t="s">
        <v>38</v>
      </c>
      <c r="H157" s="1">
        <v>11</v>
      </c>
      <c r="I157" s="1">
        <v>0.65</v>
      </c>
      <c r="J157" s="1">
        <v>1.9670000000000001</v>
      </c>
      <c r="K157" s="1" t="s">
        <v>26</v>
      </c>
      <c r="L157" s="1">
        <v>0.161</v>
      </c>
      <c r="M157" s="1">
        <v>0.123</v>
      </c>
    </row>
    <row r="158" spans="1:17" x14ac:dyDescent="0.35">
      <c r="A158" s="1" t="s">
        <v>354</v>
      </c>
      <c r="B158" s="1">
        <v>2</v>
      </c>
      <c r="C158" s="1" t="s">
        <v>25</v>
      </c>
      <c r="D158" s="1" t="s">
        <v>26</v>
      </c>
      <c r="E158" s="1">
        <v>1</v>
      </c>
      <c r="F158" s="1">
        <v>105</v>
      </c>
      <c r="G158" s="1" t="s">
        <v>38</v>
      </c>
      <c r="H158" s="1">
        <v>11</v>
      </c>
      <c r="I158" s="1">
        <v>1.4610000000000001</v>
      </c>
      <c r="J158" s="1">
        <v>2.9660000000000002</v>
      </c>
      <c r="K158" s="1">
        <v>2.9340000000000002</v>
      </c>
      <c r="L158" s="1">
        <v>0.308</v>
      </c>
      <c r="M158" s="1">
        <v>0.253</v>
      </c>
    </row>
    <row r="159" spans="1:17" s="16" customFormat="1" x14ac:dyDescent="0.35">
      <c r="A159" s="2" t="s">
        <v>355</v>
      </c>
      <c r="B159" s="2">
        <v>2</v>
      </c>
      <c r="C159" s="2" t="s">
        <v>32</v>
      </c>
      <c r="D159" s="2" t="s">
        <v>247</v>
      </c>
      <c r="E159" s="2">
        <v>1</v>
      </c>
      <c r="F159" s="2">
        <v>106</v>
      </c>
      <c r="G159" s="2" t="s">
        <v>38</v>
      </c>
      <c r="H159" s="2">
        <v>11</v>
      </c>
      <c r="I159" s="2">
        <v>0.433</v>
      </c>
      <c r="J159" s="2">
        <v>1.3120000000000001</v>
      </c>
      <c r="K159" s="2">
        <v>1.399</v>
      </c>
      <c r="L159" s="2">
        <v>0.128</v>
      </c>
      <c r="M159" s="2">
        <v>9.6000000000000002E-2</v>
      </c>
      <c r="N159" s="2"/>
      <c r="O159" s="2"/>
      <c r="Q159" s="15"/>
    </row>
    <row r="160" spans="1:17" s="16" customFormat="1" x14ac:dyDescent="0.35">
      <c r="A160" s="2" t="s">
        <v>356</v>
      </c>
      <c r="B160" s="2">
        <v>2</v>
      </c>
      <c r="C160" s="2" t="s">
        <v>25</v>
      </c>
      <c r="D160" s="2" t="s">
        <v>26</v>
      </c>
      <c r="E160" s="2">
        <v>1</v>
      </c>
      <c r="F160" s="2">
        <v>106</v>
      </c>
      <c r="G160" s="2" t="s">
        <v>38</v>
      </c>
      <c r="H160" s="2">
        <v>11</v>
      </c>
      <c r="I160" s="2">
        <v>2.1720000000000002</v>
      </c>
      <c r="J160" s="2">
        <v>4.47</v>
      </c>
      <c r="K160" s="2" t="s">
        <v>26</v>
      </c>
      <c r="L160" s="2">
        <v>0.51600000000000001</v>
      </c>
      <c r="M160" s="2">
        <v>0.52700000000000002</v>
      </c>
      <c r="N160" s="2" t="s">
        <v>498</v>
      </c>
      <c r="O160" s="2"/>
      <c r="Q160" s="15"/>
    </row>
    <row r="161" spans="1:17" x14ac:dyDescent="0.35">
      <c r="A161" s="1" t="s">
        <v>358</v>
      </c>
      <c r="B161" s="1">
        <v>2</v>
      </c>
      <c r="C161" s="1" t="s">
        <v>32</v>
      </c>
      <c r="D161" s="1" t="s">
        <v>33</v>
      </c>
      <c r="E161" s="1">
        <v>1</v>
      </c>
      <c r="F161" s="1">
        <v>107</v>
      </c>
      <c r="G161" s="1" t="s">
        <v>38</v>
      </c>
      <c r="H161" s="1">
        <v>11</v>
      </c>
      <c r="I161" s="1">
        <v>0.56899999999999995</v>
      </c>
      <c r="J161" s="1" t="s">
        <v>26</v>
      </c>
      <c r="K161" s="1">
        <v>1.7969999999999999</v>
      </c>
      <c r="L161" s="1">
        <v>0.16400000000000001</v>
      </c>
      <c r="M161" s="1">
        <v>0.109</v>
      </c>
    </row>
    <row r="162" spans="1:17" x14ac:dyDescent="0.35">
      <c r="A162" s="1" t="s">
        <v>359</v>
      </c>
      <c r="B162" s="1">
        <v>2</v>
      </c>
      <c r="C162" s="1" t="s">
        <v>25</v>
      </c>
      <c r="D162" s="1" t="s">
        <v>26</v>
      </c>
      <c r="E162" s="1">
        <v>1</v>
      </c>
      <c r="F162" s="1">
        <v>107</v>
      </c>
      <c r="G162" s="1" t="s">
        <v>38</v>
      </c>
      <c r="H162" s="1">
        <v>11</v>
      </c>
      <c r="I162" s="1">
        <v>1.9059999999999999</v>
      </c>
      <c r="J162" s="1">
        <v>4.1230000000000002</v>
      </c>
      <c r="K162" s="1">
        <v>4.0439999999999996</v>
      </c>
      <c r="L162" s="1">
        <v>0.45500000000000002</v>
      </c>
      <c r="M162" s="1">
        <v>0.36799999999999999</v>
      </c>
    </row>
    <row r="163" spans="1:17" x14ac:dyDescent="0.35">
      <c r="A163" s="1" t="s">
        <v>361</v>
      </c>
      <c r="B163" s="1">
        <v>2</v>
      </c>
      <c r="C163" s="1" t="s">
        <v>25</v>
      </c>
      <c r="D163" s="1" t="s">
        <v>26</v>
      </c>
      <c r="E163" s="1">
        <v>1</v>
      </c>
      <c r="F163" s="1">
        <v>108</v>
      </c>
      <c r="G163" s="1" t="s">
        <v>27</v>
      </c>
      <c r="H163" s="1" t="s">
        <v>26</v>
      </c>
      <c r="I163" s="1">
        <v>2.37</v>
      </c>
      <c r="J163" s="1">
        <v>4.4029999999999996</v>
      </c>
      <c r="K163" s="1">
        <v>4.4550000000000001</v>
      </c>
      <c r="L163" s="1">
        <v>0.40400000000000003</v>
      </c>
      <c r="M163" s="1">
        <v>0.45800000000000002</v>
      </c>
    </row>
    <row r="164" spans="1:17" x14ac:dyDescent="0.35">
      <c r="A164" s="1" t="s">
        <v>363</v>
      </c>
      <c r="B164" s="1">
        <v>2</v>
      </c>
      <c r="C164" s="1" t="s">
        <v>25</v>
      </c>
      <c r="D164" s="1" t="s">
        <v>26</v>
      </c>
      <c r="E164" s="1">
        <v>1</v>
      </c>
      <c r="F164" s="1">
        <v>109</v>
      </c>
      <c r="G164" s="1" t="s">
        <v>27</v>
      </c>
      <c r="H164" s="1" t="s">
        <v>26</v>
      </c>
      <c r="I164" s="1">
        <v>2.2050000000000001</v>
      </c>
      <c r="J164" s="1">
        <v>4.7569999999999997</v>
      </c>
      <c r="K164" s="1">
        <v>4.6779999999999999</v>
      </c>
      <c r="L164" s="1">
        <v>0.44700000000000001</v>
      </c>
      <c r="M164" s="1">
        <v>0.379</v>
      </c>
    </row>
    <row r="165" spans="1:17" x14ac:dyDescent="0.35">
      <c r="A165" s="1" t="s">
        <v>365</v>
      </c>
      <c r="B165" s="1">
        <v>2</v>
      </c>
      <c r="C165" s="1" t="s">
        <v>32</v>
      </c>
      <c r="D165" s="1" t="s">
        <v>33</v>
      </c>
      <c r="E165" s="1">
        <v>1</v>
      </c>
      <c r="F165" s="1">
        <v>109</v>
      </c>
      <c r="G165" s="1" t="s">
        <v>27</v>
      </c>
      <c r="H165" s="1" t="s">
        <v>26</v>
      </c>
      <c r="I165" s="1">
        <v>0.61599999999999999</v>
      </c>
      <c r="J165" s="1">
        <v>2.1800000000000002</v>
      </c>
      <c r="K165" s="1">
        <v>2.2639999999999998</v>
      </c>
      <c r="L165" s="1">
        <v>0.24099999999999999</v>
      </c>
      <c r="M165" s="1">
        <v>0.11799999999999999</v>
      </c>
    </row>
    <row r="166" spans="1:17" x14ac:dyDescent="0.35">
      <c r="A166" s="1" t="s">
        <v>366</v>
      </c>
      <c r="B166" s="1">
        <v>2</v>
      </c>
      <c r="C166" s="1" t="s">
        <v>25</v>
      </c>
      <c r="D166" s="1" t="s">
        <v>26</v>
      </c>
      <c r="E166" s="1">
        <v>1</v>
      </c>
      <c r="F166" s="1">
        <v>110</v>
      </c>
      <c r="G166" s="1" t="s">
        <v>27</v>
      </c>
      <c r="H166" s="1" t="s">
        <v>26</v>
      </c>
      <c r="I166" s="1">
        <v>2.319</v>
      </c>
      <c r="J166" s="1" t="s">
        <v>26</v>
      </c>
      <c r="K166" s="1">
        <v>4.1109999999999998</v>
      </c>
      <c r="L166" s="1">
        <v>0.34699999999999998</v>
      </c>
      <c r="M166" s="1">
        <v>0.52300000000000002</v>
      </c>
      <c r="N166" s="1" t="s">
        <v>368</v>
      </c>
    </row>
    <row r="167" spans="1:17" x14ac:dyDescent="0.35">
      <c r="A167" s="1" t="s">
        <v>369</v>
      </c>
      <c r="B167" s="1">
        <v>2</v>
      </c>
      <c r="C167" s="1" t="s">
        <v>25</v>
      </c>
      <c r="D167" s="1" t="s">
        <v>26</v>
      </c>
      <c r="E167" s="1">
        <v>1</v>
      </c>
      <c r="F167" s="1">
        <v>111</v>
      </c>
      <c r="G167" s="1" t="s">
        <v>27</v>
      </c>
      <c r="H167" s="1" t="s">
        <v>26</v>
      </c>
      <c r="I167" s="1">
        <v>2.09</v>
      </c>
      <c r="J167" s="1">
        <v>4.8150000000000004</v>
      </c>
      <c r="K167" s="1">
        <v>4.875</v>
      </c>
      <c r="L167" s="1">
        <v>0.49099999999999999</v>
      </c>
      <c r="M167" s="1">
        <v>0.621</v>
      </c>
      <c r="N167" s="1" t="s">
        <v>371</v>
      </c>
    </row>
    <row r="168" spans="1:17" x14ac:dyDescent="0.35">
      <c r="A168" s="1" t="s">
        <v>372</v>
      </c>
      <c r="B168" s="1">
        <v>2</v>
      </c>
      <c r="C168" s="1" t="s">
        <v>32</v>
      </c>
      <c r="D168" s="1" t="s">
        <v>33</v>
      </c>
      <c r="E168" s="1">
        <v>1</v>
      </c>
      <c r="F168" s="1">
        <v>111</v>
      </c>
      <c r="G168" s="1" t="s">
        <v>27</v>
      </c>
      <c r="H168" s="1" t="s">
        <v>26</v>
      </c>
      <c r="I168" s="1">
        <v>0.57199999999999995</v>
      </c>
      <c r="J168" s="1">
        <v>2.0739999999999998</v>
      </c>
      <c r="K168" s="1">
        <v>2.113</v>
      </c>
      <c r="L168" s="1">
        <v>0.21099999999999999</v>
      </c>
      <c r="M168" s="1">
        <v>0.112</v>
      </c>
    </row>
    <row r="169" spans="1:17" x14ac:dyDescent="0.35">
      <c r="A169" s="1" t="s">
        <v>373</v>
      </c>
      <c r="B169" s="1">
        <v>2</v>
      </c>
      <c r="C169" s="1" t="s">
        <v>25</v>
      </c>
      <c r="D169" s="1" t="s">
        <v>26</v>
      </c>
      <c r="E169" s="1">
        <v>1</v>
      </c>
      <c r="F169" s="1">
        <v>112</v>
      </c>
      <c r="G169" s="1" t="s">
        <v>27</v>
      </c>
      <c r="H169" s="1" t="s">
        <v>26</v>
      </c>
      <c r="I169" s="1">
        <v>2.6739999999999999</v>
      </c>
      <c r="J169" s="1">
        <v>4.8520000000000003</v>
      </c>
      <c r="K169" s="1">
        <v>4.8620000000000001</v>
      </c>
      <c r="L169" s="1">
        <v>0.54400000000000004</v>
      </c>
      <c r="M169" s="1">
        <v>0.64700000000000002</v>
      </c>
      <c r="N169" s="1" t="s">
        <v>375</v>
      </c>
    </row>
    <row r="170" spans="1:17" x14ac:dyDescent="0.35">
      <c r="A170" s="1" t="s">
        <v>376</v>
      </c>
      <c r="B170" s="1">
        <v>2</v>
      </c>
      <c r="C170" s="1" t="s">
        <v>25</v>
      </c>
      <c r="D170" s="1" t="s">
        <v>26</v>
      </c>
      <c r="E170" s="1">
        <v>4</v>
      </c>
      <c r="F170" s="1">
        <v>113</v>
      </c>
      <c r="G170" s="1" t="s">
        <v>27</v>
      </c>
      <c r="H170" s="1" t="s">
        <v>26</v>
      </c>
      <c r="I170" s="1">
        <v>2.0139999999999998</v>
      </c>
      <c r="J170" s="1">
        <v>4.4480000000000004</v>
      </c>
      <c r="K170" s="1" t="s">
        <v>26</v>
      </c>
      <c r="L170" s="1">
        <v>0.46500000000000002</v>
      </c>
      <c r="M170" s="1">
        <v>0.5</v>
      </c>
    </row>
    <row r="171" spans="1:17" x14ac:dyDescent="0.35">
      <c r="A171" s="1" t="s">
        <v>378</v>
      </c>
      <c r="B171" s="1">
        <v>2</v>
      </c>
      <c r="C171" s="1" t="s">
        <v>32</v>
      </c>
      <c r="D171" s="1" t="s">
        <v>33</v>
      </c>
      <c r="E171" s="1">
        <v>4</v>
      </c>
      <c r="F171" s="1">
        <v>113</v>
      </c>
      <c r="G171" s="1" t="s">
        <v>27</v>
      </c>
      <c r="H171" s="1" t="s">
        <v>26</v>
      </c>
      <c r="I171" s="1">
        <v>0.67500000000000004</v>
      </c>
      <c r="J171" s="1" t="s">
        <v>26</v>
      </c>
      <c r="K171" s="1" t="s">
        <v>26</v>
      </c>
      <c r="L171" s="1">
        <v>0.19700000000000001</v>
      </c>
      <c r="M171" s="1">
        <v>0.13900000000000001</v>
      </c>
    </row>
    <row r="172" spans="1:17" x14ac:dyDescent="0.35">
      <c r="A172" s="1" t="s">
        <v>379</v>
      </c>
      <c r="B172" s="1">
        <v>2</v>
      </c>
      <c r="C172" s="1" t="s">
        <v>25</v>
      </c>
      <c r="D172" s="1" t="s">
        <v>26</v>
      </c>
      <c r="E172" s="1">
        <v>4</v>
      </c>
      <c r="F172" s="1">
        <v>114</v>
      </c>
      <c r="G172" s="1" t="s">
        <v>27</v>
      </c>
      <c r="H172" s="1" t="s">
        <v>26</v>
      </c>
      <c r="I172" s="1">
        <v>2.5059999999999998</v>
      </c>
      <c r="J172" s="1">
        <v>4.9939999999999998</v>
      </c>
      <c r="K172" s="1">
        <v>4.9729999999999999</v>
      </c>
      <c r="L172" s="1">
        <v>0.52500000000000002</v>
      </c>
      <c r="M172" s="1">
        <v>0.68500000000000005</v>
      </c>
    </row>
    <row r="173" spans="1:17" x14ac:dyDescent="0.35">
      <c r="A173" s="1" t="s">
        <v>381</v>
      </c>
      <c r="B173" s="1">
        <v>2</v>
      </c>
      <c r="C173" s="1" t="s">
        <v>32</v>
      </c>
      <c r="D173" s="1" t="s">
        <v>33</v>
      </c>
      <c r="E173" s="1">
        <v>4</v>
      </c>
      <c r="F173" s="1">
        <v>114</v>
      </c>
      <c r="G173" s="1" t="s">
        <v>27</v>
      </c>
      <c r="H173" s="1" t="s">
        <v>26</v>
      </c>
      <c r="I173" s="1">
        <v>0.78900000000000003</v>
      </c>
      <c r="J173" s="1">
        <v>3.03</v>
      </c>
      <c r="K173" s="1">
        <v>3.0529999999999999</v>
      </c>
      <c r="L173" s="1">
        <v>0.26800000000000002</v>
      </c>
      <c r="M173" s="1">
        <v>0.128</v>
      </c>
    </row>
    <row r="174" spans="1:17" x14ac:dyDescent="0.35">
      <c r="A174" s="1" t="s">
        <v>382</v>
      </c>
      <c r="B174" s="1">
        <v>2</v>
      </c>
      <c r="C174" s="1" t="s">
        <v>25</v>
      </c>
      <c r="D174" s="1" t="s">
        <v>26</v>
      </c>
      <c r="E174" s="1">
        <v>4</v>
      </c>
      <c r="F174" s="1">
        <v>115</v>
      </c>
      <c r="G174" s="1" t="s">
        <v>27</v>
      </c>
      <c r="H174" s="1" t="s">
        <v>26</v>
      </c>
      <c r="I174" s="1">
        <v>2.335</v>
      </c>
      <c r="J174" s="1">
        <v>5.77</v>
      </c>
      <c r="K174" s="1">
        <v>5.7569999999999997</v>
      </c>
      <c r="L174" s="1">
        <v>0.55900000000000005</v>
      </c>
      <c r="M174" s="1">
        <v>0.66900000000000004</v>
      </c>
    </row>
    <row r="175" spans="1:17" x14ac:dyDescent="0.35">
      <c r="A175" s="1" t="s">
        <v>384</v>
      </c>
      <c r="B175" s="1">
        <v>2</v>
      </c>
      <c r="C175" s="1" t="s">
        <v>32</v>
      </c>
      <c r="D175" s="1" t="s">
        <v>33</v>
      </c>
      <c r="E175" s="1">
        <v>4</v>
      </c>
      <c r="F175" s="1">
        <v>115</v>
      </c>
      <c r="G175" s="1" t="s">
        <v>27</v>
      </c>
      <c r="H175" s="1" t="s">
        <v>26</v>
      </c>
      <c r="I175" s="1">
        <v>0.63500000000000001</v>
      </c>
      <c r="J175" s="1">
        <v>2.3170000000000002</v>
      </c>
      <c r="K175" s="1">
        <v>2.3079999999999998</v>
      </c>
      <c r="L175" s="1">
        <v>0.22600000000000001</v>
      </c>
      <c r="M175" s="1">
        <v>0.14699999999999999</v>
      </c>
    </row>
    <row r="176" spans="1:17" s="16" customFormat="1" x14ac:dyDescent="0.35">
      <c r="A176" s="2" t="s">
        <v>385</v>
      </c>
      <c r="B176" s="2">
        <v>2</v>
      </c>
      <c r="C176" s="2" t="s">
        <v>25</v>
      </c>
      <c r="D176" s="2" t="s">
        <v>26</v>
      </c>
      <c r="E176" s="2">
        <v>4</v>
      </c>
      <c r="F176" s="2">
        <v>116</v>
      </c>
      <c r="G176" s="2" t="s">
        <v>27</v>
      </c>
      <c r="H176" s="2" t="s">
        <v>26</v>
      </c>
      <c r="I176" s="2">
        <v>2.2200000000000002</v>
      </c>
      <c r="J176" s="2">
        <v>5.2960000000000003</v>
      </c>
      <c r="K176" s="2">
        <v>5.181</v>
      </c>
      <c r="L176" s="2">
        <v>0.58899999999999997</v>
      </c>
      <c r="M176" s="2" t="s">
        <v>26</v>
      </c>
      <c r="N176" s="2"/>
      <c r="O176" s="2"/>
      <c r="Q176" s="15"/>
    </row>
    <row r="177" spans="1:17" s="16" customFormat="1" x14ac:dyDescent="0.35">
      <c r="A177" s="2" t="s">
        <v>387</v>
      </c>
      <c r="B177" s="2">
        <v>2</v>
      </c>
      <c r="C177" s="2" t="s">
        <v>32</v>
      </c>
      <c r="D177" s="2" t="s">
        <v>33</v>
      </c>
      <c r="E177" s="2">
        <v>4</v>
      </c>
      <c r="F177" s="2">
        <v>116</v>
      </c>
      <c r="G177" s="2" t="s">
        <v>27</v>
      </c>
      <c r="H177" s="2" t="s">
        <v>26</v>
      </c>
      <c r="I177" s="2">
        <v>0.69299999999999995</v>
      </c>
      <c r="J177" s="2" t="s">
        <v>26</v>
      </c>
      <c r="K177" s="2">
        <v>2.2330000000000001</v>
      </c>
      <c r="L177" s="2">
        <v>0.17299999999999999</v>
      </c>
      <c r="M177" s="2">
        <v>0.129</v>
      </c>
      <c r="N177" s="2" t="s">
        <v>388</v>
      </c>
      <c r="O177" s="2"/>
      <c r="Q177" s="15"/>
    </row>
    <row r="178" spans="1:17" s="16" customFormat="1" x14ac:dyDescent="0.35">
      <c r="A178" s="2" t="s">
        <v>389</v>
      </c>
      <c r="B178" s="2">
        <v>2</v>
      </c>
      <c r="C178" s="2" t="s">
        <v>32</v>
      </c>
      <c r="D178" s="2" t="s">
        <v>247</v>
      </c>
      <c r="E178" s="2">
        <v>4</v>
      </c>
      <c r="F178" s="2">
        <v>116</v>
      </c>
      <c r="G178" s="2" t="s">
        <v>27</v>
      </c>
      <c r="H178" s="2" t="s">
        <v>26</v>
      </c>
      <c r="I178" s="2">
        <v>0.72599999999999998</v>
      </c>
      <c r="J178" s="2">
        <v>2.3929999999999998</v>
      </c>
      <c r="K178" s="2">
        <v>2.3650000000000002</v>
      </c>
      <c r="L178" s="2">
        <v>0.218</v>
      </c>
      <c r="M178" s="2">
        <v>0.113</v>
      </c>
      <c r="N178" s="2"/>
      <c r="O178" s="2"/>
      <c r="Q178" s="15"/>
    </row>
    <row r="179" spans="1:17" x14ac:dyDescent="0.35">
      <c r="A179" s="1" t="s">
        <v>390</v>
      </c>
      <c r="B179" s="1">
        <v>2</v>
      </c>
      <c r="C179" s="1" t="s">
        <v>25</v>
      </c>
      <c r="D179" s="1" t="s">
        <v>26</v>
      </c>
      <c r="E179" s="1">
        <v>1</v>
      </c>
      <c r="F179" s="1">
        <v>117</v>
      </c>
      <c r="G179" s="1" t="s">
        <v>27</v>
      </c>
      <c r="H179" s="1" t="s">
        <v>26</v>
      </c>
      <c r="I179" s="1">
        <v>2.2959999999999998</v>
      </c>
      <c r="J179" s="1">
        <v>4.681</v>
      </c>
      <c r="K179" s="1">
        <v>4.681</v>
      </c>
      <c r="L179" s="1">
        <v>0.51700000000000002</v>
      </c>
      <c r="M179" s="1">
        <v>0.47</v>
      </c>
    </row>
    <row r="180" spans="1:17" x14ac:dyDescent="0.35">
      <c r="A180" s="1" t="s">
        <v>392</v>
      </c>
      <c r="B180" s="1">
        <v>2</v>
      </c>
      <c r="C180" s="1" t="s">
        <v>25</v>
      </c>
      <c r="D180" s="1" t="s">
        <v>26</v>
      </c>
      <c r="E180" s="1">
        <v>4</v>
      </c>
      <c r="F180" s="1">
        <v>118</v>
      </c>
      <c r="G180" s="1" t="s">
        <v>27</v>
      </c>
      <c r="H180" s="1" t="s">
        <v>26</v>
      </c>
      <c r="I180" s="1">
        <v>2.0329999999999999</v>
      </c>
      <c r="J180" s="1">
        <v>5.0179999999999998</v>
      </c>
      <c r="K180" s="1">
        <v>4.9740000000000002</v>
      </c>
      <c r="L180" s="1">
        <v>0.52100000000000002</v>
      </c>
      <c r="M180" s="1">
        <v>0.372</v>
      </c>
    </row>
    <row r="181" spans="1:17" x14ac:dyDescent="0.35">
      <c r="A181" s="1" t="s">
        <v>394</v>
      </c>
      <c r="B181" s="1">
        <v>2</v>
      </c>
      <c r="C181" s="1" t="s">
        <v>25</v>
      </c>
      <c r="D181" s="1" t="s">
        <v>26</v>
      </c>
      <c r="E181" s="1">
        <v>2</v>
      </c>
      <c r="F181" s="1">
        <v>119</v>
      </c>
      <c r="G181" s="1" t="s">
        <v>27</v>
      </c>
      <c r="H181" s="1" t="s">
        <v>26</v>
      </c>
      <c r="I181" s="1">
        <v>2.4750000000000001</v>
      </c>
      <c r="J181" s="1">
        <v>4.9539999999999997</v>
      </c>
      <c r="K181" s="1">
        <v>4.9160000000000004</v>
      </c>
      <c r="L181" s="1">
        <v>0.48699999999999999</v>
      </c>
      <c r="M181" s="1">
        <v>0.621</v>
      </c>
    </row>
    <row r="182" spans="1:17" x14ac:dyDescent="0.35">
      <c r="A182" s="1" t="s">
        <v>396</v>
      </c>
      <c r="B182" s="1">
        <v>2</v>
      </c>
      <c r="C182" s="1" t="s">
        <v>32</v>
      </c>
      <c r="D182" s="1" t="s">
        <v>33</v>
      </c>
      <c r="E182" s="1">
        <v>2</v>
      </c>
      <c r="F182" s="1">
        <v>119</v>
      </c>
      <c r="G182" s="1" t="s">
        <v>27</v>
      </c>
      <c r="H182" s="1" t="s">
        <v>26</v>
      </c>
      <c r="I182" s="1">
        <v>0.59799999999999998</v>
      </c>
      <c r="J182" s="1">
        <v>1.99</v>
      </c>
      <c r="K182" s="1">
        <v>1.851</v>
      </c>
      <c r="L182" s="1">
        <v>0.17299999999999999</v>
      </c>
      <c r="M182" s="1">
        <v>0.125</v>
      </c>
    </row>
    <row r="183" spans="1:17" x14ac:dyDescent="0.35">
      <c r="A183" s="1" t="s">
        <v>397</v>
      </c>
      <c r="B183" s="1">
        <v>2</v>
      </c>
      <c r="C183" s="1" t="s">
        <v>25</v>
      </c>
      <c r="D183" s="1" t="s">
        <v>26</v>
      </c>
      <c r="E183" s="1">
        <v>2</v>
      </c>
      <c r="F183" s="1">
        <v>120</v>
      </c>
      <c r="G183" s="1" t="s">
        <v>27</v>
      </c>
      <c r="H183" s="1" t="s">
        <v>26</v>
      </c>
      <c r="I183" s="1">
        <v>2.0840000000000001</v>
      </c>
      <c r="J183" s="1">
        <v>4.5750000000000002</v>
      </c>
      <c r="K183" s="1">
        <v>4.5659999999999998</v>
      </c>
      <c r="L183" s="1">
        <v>0.42699999999999999</v>
      </c>
      <c r="M183" s="1">
        <v>0.60599999999999998</v>
      </c>
    </row>
    <row r="184" spans="1:17" x14ac:dyDescent="0.35">
      <c r="A184" s="1" t="s">
        <v>399</v>
      </c>
      <c r="B184" s="1">
        <v>2</v>
      </c>
      <c r="C184" s="1" t="s">
        <v>32</v>
      </c>
      <c r="D184" s="1" t="s">
        <v>33</v>
      </c>
      <c r="E184" s="1">
        <v>2</v>
      </c>
      <c r="F184" s="1">
        <v>120</v>
      </c>
      <c r="G184" s="1" t="s">
        <v>27</v>
      </c>
      <c r="H184" s="1" t="s">
        <v>26</v>
      </c>
      <c r="I184" s="1">
        <v>0.76800000000000002</v>
      </c>
      <c r="J184" s="1">
        <v>2.4430000000000001</v>
      </c>
      <c r="K184" s="1">
        <v>2.4409999999999998</v>
      </c>
      <c r="L184" s="1">
        <v>0.189</v>
      </c>
      <c r="M184" s="1">
        <v>0.123</v>
      </c>
    </row>
    <row r="185" spans="1:17" x14ac:dyDescent="0.35">
      <c r="A185" s="1" t="s">
        <v>400</v>
      </c>
      <c r="B185" s="1">
        <v>2</v>
      </c>
      <c r="C185" s="1" t="s">
        <v>25</v>
      </c>
      <c r="D185" s="1" t="s">
        <v>26</v>
      </c>
      <c r="E185" s="1">
        <v>7</v>
      </c>
      <c r="F185" s="1">
        <v>121</v>
      </c>
      <c r="G185" s="1" t="s">
        <v>27</v>
      </c>
      <c r="H185" s="1" t="s">
        <v>26</v>
      </c>
      <c r="I185" s="1">
        <v>2.0329999999999999</v>
      </c>
      <c r="J185" s="1">
        <v>4.6130000000000004</v>
      </c>
      <c r="K185" s="1">
        <v>4.524</v>
      </c>
      <c r="L185" s="1">
        <v>0.46</v>
      </c>
      <c r="M185" s="1">
        <v>0.45100000000000001</v>
      </c>
    </row>
    <row r="186" spans="1:17" x14ac:dyDescent="0.35">
      <c r="A186" s="1" t="s">
        <v>402</v>
      </c>
      <c r="B186" s="1">
        <v>2</v>
      </c>
      <c r="C186" s="1" t="s">
        <v>32</v>
      </c>
      <c r="D186" s="1" t="s">
        <v>33</v>
      </c>
      <c r="E186" s="1">
        <v>7</v>
      </c>
      <c r="F186" s="1">
        <v>121</v>
      </c>
      <c r="G186" s="1" t="s">
        <v>27</v>
      </c>
      <c r="H186" s="1" t="s">
        <v>26</v>
      </c>
      <c r="I186" s="1">
        <v>0.72699999999999998</v>
      </c>
      <c r="J186" s="1">
        <v>2.4969999999999999</v>
      </c>
      <c r="K186" s="1">
        <v>2.4140000000000001</v>
      </c>
      <c r="L186" s="1">
        <v>0.22500000000000001</v>
      </c>
      <c r="M186" s="1">
        <v>0.14599999999999999</v>
      </c>
    </row>
    <row r="187" spans="1:17" x14ac:dyDescent="0.35">
      <c r="A187" s="1" t="s">
        <v>403</v>
      </c>
      <c r="B187" s="1">
        <v>2</v>
      </c>
      <c r="C187" s="1" t="s">
        <v>25</v>
      </c>
      <c r="D187" s="1" t="s">
        <v>26</v>
      </c>
      <c r="E187" s="1">
        <v>7</v>
      </c>
      <c r="F187" s="1">
        <v>122</v>
      </c>
      <c r="G187" s="1" t="s">
        <v>27</v>
      </c>
      <c r="H187" s="1" t="s">
        <v>26</v>
      </c>
      <c r="I187" s="1">
        <v>2.2160000000000002</v>
      </c>
      <c r="J187" s="1">
        <v>5.0540000000000003</v>
      </c>
      <c r="K187" s="1">
        <v>5.0759999999999996</v>
      </c>
      <c r="L187" s="1">
        <v>0.53500000000000003</v>
      </c>
      <c r="M187" s="1">
        <v>0.54700000000000004</v>
      </c>
    </row>
    <row r="188" spans="1:17" x14ac:dyDescent="0.35">
      <c r="A188" s="1" t="s">
        <v>405</v>
      </c>
      <c r="B188" s="1">
        <v>2</v>
      </c>
      <c r="C188" s="1" t="s">
        <v>32</v>
      </c>
      <c r="D188" s="1" t="s">
        <v>33</v>
      </c>
      <c r="E188" s="1">
        <v>7</v>
      </c>
      <c r="F188" s="1">
        <v>122</v>
      </c>
      <c r="G188" s="1" t="s">
        <v>27</v>
      </c>
      <c r="H188" s="1" t="s">
        <v>26</v>
      </c>
      <c r="I188" s="1">
        <v>0.60799999999999998</v>
      </c>
      <c r="J188" s="1">
        <v>1.857</v>
      </c>
      <c r="K188" s="1">
        <v>2.1579999999999999</v>
      </c>
      <c r="L188" s="1">
        <v>0.19800000000000001</v>
      </c>
      <c r="M188" s="1">
        <v>0.14299999999999999</v>
      </c>
    </row>
    <row r="189" spans="1:17" x14ac:dyDescent="0.35">
      <c r="A189" s="1" t="s">
        <v>406</v>
      </c>
      <c r="B189" s="1">
        <v>2</v>
      </c>
      <c r="C189" s="1" t="s">
        <v>32</v>
      </c>
      <c r="D189" s="1" t="s">
        <v>247</v>
      </c>
      <c r="E189" s="1">
        <v>7</v>
      </c>
      <c r="F189" s="1">
        <v>122</v>
      </c>
      <c r="G189" s="1" t="s">
        <v>27</v>
      </c>
      <c r="H189" s="1" t="s">
        <v>26</v>
      </c>
      <c r="I189" s="1">
        <v>0.498</v>
      </c>
      <c r="J189" s="1">
        <v>1.58</v>
      </c>
      <c r="K189" s="1">
        <v>1.5660000000000001</v>
      </c>
      <c r="L189" s="1">
        <v>0.14499999999999999</v>
      </c>
      <c r="M189" s="1">
        <v>0.10299999999999999</v>
      </c>
    </row>
    <row r="190" spans="1:17" x14ac:dyDescent="0.35">
      <c r="A190" s="1" t="s">
        <v>407</v>
      </c>
      <c r="B190" s="1">
        <v>2</v>
      </c>
      <c r="C190" s="1" t="s">
        <v>25</v>
      </c>
      <c r="D190" s="1" t="s">
        <v>26</v>
      </c>
      <c r="E190" s="1">
        <v>6</v>
      </c>
      <c r="F190" s="1">
        <v>123</v>
      </c>
      <c r="G190" s="1" t="s">
        <v>27</v>
      </c>
      <c r="H190" s="1" t="s">
        <v>26</v>
      </c>
      <c r="I190" s="1">
        <v>2.355</v>
      </c>
      <c r="J190" s="1">
        <v>5.16</v>
      </c>
      <c r="K190" s="1">
        <v>5.0839999999999996</v>
      </c>
      <c r="L190" s="1">
        <v>0.55400000000000005</v>
      </c>
      <c r="M190" s="1">
        <v>0.61499999999999999</v>
      </c>
    </row>
    <row r="191" spans="1:17" x14ac:dyDescent="0.35">
      <c r="A191" s="1" t="s">
        <v>409</v>
      </c>
      <c r="B191" s="1">
        <v>2</v>
      </c>
      <c r="C191" s="1" t="s">
        <v>32</v>
      </c>
      <c r="D191" s="1" t="s">
        <v>33</v>
      </c>
      <c r="E191" s="1">
        <v>6</v>
      </c>
      <c r="F191" s="1">
        <v>123</v>
      </c>
      <c r="G191" s="1" t="s">
        <v>27</v>
      </c>
      <c r="H191" s="1" t="s">
        <v>26</v>
      </c>
      <c r="I191" s="1">
        <v>0.77600000000000002</v>
      </c>
      <c r="J191" s="1">
        <v>2.8130000000000002</v>
      </c>
      <c r="K191" s="1">
        <v>2.944</v>
      </c>
      <c r="L191" s="1">
        <v>0.20599999999999999</v>
      </c>
      <c r="M191" s="1">
        <v>0.15</v>
      </c>
    </row>
    <row r="192" spans="1:17" x14ac:dyDescent="0.35">
      <c r="A192" s="1" t="s">
        <v>410</v>
      </c>
      <c r="B192" s="1">
        <v>2</v>
      </c>
      <c r="C192" s="1" t="s">
        <v>25</v>
      </c>
      <c r="D192" s="1" t="s">
        <v>26</v>
      </c>
      <c r="E192" s="1">
        <v>3</v>
      </c>
      <c r="F192" s="1">
        <v>124</v>
      </c>
      <c r="G192" s="1" t="s">
        <v>27</v>
      </c>
      <c r="H192" s="1" t="s">
        <v>26</v>
      </c>
      <c r="I192" s="1">
        <v>1.996</v>
      </c>
      <c r="J192" s="1">
        <v>4.2640000000000002</v>
      </c>
      <c r="K192" s="1">
        <v>4.17</v>
      </c>
      <c r="L192" s="1">
        <v>0.48</v>
      </c>
      <c r="M192" s="1">
        <v>0.41699999999999998</v>
      </c>
    </row>
    <row r="193" spans="1:14" x14ac:dyDescent="0.35">
      <c r="A193" s="1" t="s">
        <v>412</v>
      </c>
      <c r="B193" s="1">
        <v>2</v>
      </c>
      <c r="C193" s="1" t="s">
        <v>32</v>
      </c>
      <c r="D193" s="1" t="s">
        <v>33</v>
      </c>
      <c r="E193" s="1">
        <v>3</v>
      </c>
      <c r="F193" s="1">
        <v>124</v>
      </c>
      <c r="G193" s="1" t="s">
        <v>27</v>
      </c>
      <c r="H193" s="1" t="s">
        <v>26</v>
      </c>
      <c r="I193" s="1">
        <v>0.68</v>
      </c>
      <c r="J193" s="1" t="s">
        <v>26</v>
      </c>
      <c r="K193" s="1">
        <v>2.5609999999999999</v>
      </c>
      <c r="L193" s="1">
        <v>0.182</v>
      </c>
      <c r="M193" s="1">
        <v>9.8000000000000004E-2</v>
      </c>
    </row>
    <row r="194" spans="1:14" x14ac:dyDescent="0.35">
      <c r="A194" s="1" t="s">
        <v>413</v>
      </c>
      <c r="B194" s="1">
        <v>2</v>
      </c>
      <c r="C194" s="1" t="s">
        <v>25</v>
      </c>
      <c r="D194" s="1" t="s">
        <v>26</v>
      </c>
      <c r="E194" s="1">
        <v>3</v>
      </c>
      <c r="F194" s="1">
        <v>125</v>
      </c>
      <c r="G194" s="1" t="s">
        <v>27</v>
      </c>
      <c r="H194" s="1" t="s">
        <v>26</v>
      </c>
      <c r="I194" s="1">
        <v>2.2290000000000001</v>
      </c>
      <c r="J194" s="1">
        <v>4.3360000000000003</v>
      </c>
      <c r="K194" s="1">
        <v>4.1079999999999997</v>
      </c>
      <c r="L194" s="1">
        <v>0.49299999999999999</v>
      </c>
      <c r="M194" s="1">
        <v>0.63900000000000001</v>
      </c>
    </row>
    <row r="195" spans="1:14" x14ac:dyDescent="0.35">
      <c r="A195" s="1" t="s">
        <v>414</v>
      </c>
      <c r="B195" s="1">
        <v>2</v>
      </c>
      <c r="C195" s="1" t="s">
        <v>32</v>
      </c>
      <c r="D195" s="1" t="s">
        <v>33</v>
      </c>
      <c r="E195" s="1">
        <v>3</v>
      </c>
      <c r="F195" s="1">
        <v>125</v>
      </c>
      <c r="G195" s="1" t="s">
        <v>27</v>
      </c>
      <c r="H195" s="1" t="s">
        <v>26</v>
      </c>
      <c r="I195" s="1">
        <v>0.83899999999999997</v>
      </c>
      <c r="J195" s="1" t="s">
        <v>26</v>
      </c>
      <c r="K195" s="1">
        <v>2.7749999999999999</v>
      </c>
      <c r="L195" s="1">
        <v>0.221</v>
      </c>
      <c r="M195" s="1">
        <v>0.16800000000000001</v>
      </c>
    </row>
    <row r="196" spans="1:14" x14ac:dyDescent="0.35">
      <c r="A196" s="1" t="s">
        <v>415</v>
      </c>
      <c r="B196" s="1">
        <v>2</v>
      </c>
      <c r="C196" s="1" t="s">
        <v>32</v>
      </c>
      <c r="D196" s="1" t="s">
        <v>247</v>
      </c>
      <c r="E196" s="1">
        <v>3</v>
      </c>
      <c r="F196" s="1">
        <v>125</v>
      </c>
      <c r="G196" s="1" t="s">
        <v>27</v>
      </c>
      <c r="H196" s="1" t="s">
        <v>26</v>
      </c>
      <c r="I196" s="1">
        <v>0.64300000000000002</v>
      </c>
      <c r="J196" s="1">
        <v>2.5430000000000001</v>
      </c>
      <c r="K196" s="1" t="s">
        <v>26</v>
      </c>
      <c r="L196" s="1">
        <v>0.189</v>
      </c>
      <c r="M196" s="1">
        <v>0.13700000000000001</v>
      </c>
    </row>
    <row r="197" spans="1:14" x14ac:dyDescent="0.35">
      <c r="A197" s="1" t="s">
        <v>416</v>
      </c>
      <c r="B197" s="1">
        <v>2</v>
      </c>
      <c r="C197" s="1" t="s">
        <v>25</v>
      </c>
      <c r="D197" s="1" t="s">
        <v>26</v>
      </c>
      <c r="E197" s="1">
        <v>3</v>
      </c>
      <c r="F197" s="1">
        <v>126</v>
      </c>
      <c r="G197" s="1" t="s">
        <v>27</v>
      </c>
      <c r="H197" s="1" t="s">
        <v>26</v>
      </c>
      <c r="I197" s="1">
        <v>2.0499999999999998</v>
      </c>
      <c r="J197" s="1">
        <v>4.4550000000000001</v>
      </c>
      <c r="K197" s="1">
        <v>4.3949999999999996</v>
      </c>
      <c r="L197" s="1">
        <v>0.47799999999999998</v>
      </c>
      <c r="M197" s="1">
        <v>0.47799999999999998</v>
      </c>
    </row>
    <row r="198" spans="1:14" x14ac:dyDescent="0.35">
      <c r="A198" s="1" t="s">
        <v>418</v>
      </c>
      <c r="B198" s="1">
        <v>2</v>
      </c>
      <c r="C198" s="1" t="s">
        <v>32</v>
      </c>
      <c r="D198" s="1" t="s">
        <v>33</v>
      </c>
      <c r="E198" s="1">
        <v>3</v>
      </c>
      <c r="F198" s="1">
        <v>126</v>
      </c>
      <c r="G198" s="1" t="s">
        <v>27</v>
      </c>
      <c r="H198" s="1" t="s">
        <v>26</v>
      </c>
      <c r="I198" s="1">
        <v>0.56000000000000005</v>
      </c>
      <c r="J198" s="1" t="s">
        <v>26</v>
      </c>
      <c r="K198" s="1">
        <v>2.226</v>
      </c>
      <c r="L198" s="1">
        <v>0.158</v>
      </c>
      <c r="M198" s="1">
        <v>0.109</v>
      </c>
    </row>
    <row r="199" spans="1:14" x14ac:dyDescent="0.35">
      <c r="A199" s="1" t="s">
        <v>419</v>
      </c>
      <c r="B199" s="1">
        <v>2</v>
      </c>
      <c r="C199" s="1" t="s">
        <v>25</v>
      </c>
      <c r="D199" s="1" t="s">
        <v>26</v>
      </c>
      <c r="E199" s="1">
        <v>3</v>
      </c>
      <c r="F199" s="1">
        <v>127</v>
      </c>
      <c r="G199" s="1" t="s">
        <v>27</v>
      </c>
      <c r="H199" s="1" t="s">
        <v>26</v>
      </c>
      <c r="I199" s="1">
        <v>2.278</v>
      </c>
      <c r="J199" s="1">
        <v>4.6929999999999996</v>
      </c>
      <c r="K199" s="1">
        <v>4.5590000000000002</v>
      </c>
      <c r="L199" s="1">
        <v>0.47899999999999998</v>
      </c>
      <c r="M199" s="1">
        <v>0.624</v>
      </c>
    </row>
    <row r="200" spans="1:14" x14ac:dyDescent="0.35">
      <c r="A200" s="1" t="s">
        <v>421</v>
      </c>
      <c r="B200" s="1">
        <v>2</v>
      </c>
      <c r="C200" s="1" t="s">
        <v>32</v>
      </c>
      <c r="D200" s="1" t="s">
        <v>33</v>
      </c>
      <c r="E200" s="1">
        <v>3</v>
      </c>
      <c r="F200" s="1">
        <v>127</v>
      </c>
      <c r="G200" s="1" t="s">
        <v>27</v>
      </c>
      <c r="H200" s="1" t="s">
        <v>26</v>
      </c>
      <c r="I200" s="1">
        <v>0.77700000000000002</v>
      </c>
      <c r="J200" s="1" t="s">
        <v>26</v>
      </c>
      <c r="K200" s="1">
        <v>2.7050000000000001</v>
      </c>
      <c r="L200" s="1">
        <v>0.19700000000000001</v>
      </c>
      <c r="M200" s="1">
        <v>0.14899999999999999</v>
      </c>
    </row>
    <row r="201" spans="1:14" x14ac:dyDescent="0.35">
      <c r="A201" s="1" t="s">
        <v>424</v>
      </c>
      <c r="B201" s="1">
        <v>2</v>
      </c>
      <c r="C201" s="1" t="s">
        <v>25</v>
      </c>
      <c r="D201" s="1" t="s">
        <v>26</v>
      </c>
      <c r="E201" s="1">
        <v>3</v>
      </c>
      <c r="F201" s="1">
        <v>129</v>
      </c>
      <c r="G201" s="1" t="s">
        <v>27</v>
      </c>
      <c r="H201" s="1" t="s">
        <v>26</v>
      </c>
      <c r="I201" s="1">
        <v>2.1509999999999998</v>
      </c>
      <c r="J201" s="1">
        <v>5.1360000000000001</v>
      </c>
      <c r="K201" s="1">
        <v>5.1079999999999997</v>
      </c>
      <c r="L201" s="1">
        <v>0.51300000000000001</v>
      </c>
      <c r="M201" s="1">
        <v>0.48799999999999999</v>
      </c>
    </row>
    <row r="202" spans="1:14" x14ac:dyDescent="0.35">
      <c r="A202" s="1" t="s">
        <v>426</v>
      </c>
      <c r="B202" s="1">
        <v>2</v>
      </c>
      <c r="C202" s="1" t="s">
        <v>32</v>
      </c>
      <c r="D202" s="1" t="s">
        <v>33</v>
      </c>
      <c r="E202" s="1">
        <v>3</v>
      </c>
      <c r="F202" s="1">
        <v>129</v>
      </c>
      <c r="G202" s="1" t="s">
        <v>27</v>
      </c>
      <c r="H202" s="1" t="s">
        <v>26</v>
      </c>
      <c r="I202" s="1">
        <v>0.68500000000000005</v>
      </c>
      <c r="J202" s="1">
        <v>2.5</v>
      </c>
      <c r="K202" s="1" t="s">
        <v>26</v>
      </c>
      <c r="L202" s="1">
        <v>0.17499999999999999</v>
      </c>
      <c r="M202" s="1">
        <v>0.11600000000000001</v>
      </c>
    </row>
    <row r="203" spans="1:14" x14ac:dyDescent="0.35">
      <c r="A203" s="1" t="s">
        <v>427</v>
      </c>
      <c r="B203" s="1">
        <v>2</v>
      </c>
      <c r="C203" s="1" t="s">
        <v>25</v>
      </c>
      <c r="D203" s="1" t="s">
        <v>26</v>
      </c>
      <c r="E203" s="1">
        <v>3</v>
      </c>
      <c r="F203" s="1">
        <v>130</v>
      </c>
      <c r="G203" s="1" t="s">
        <v>27</v>
      </c>
      <c r="H203" s="1" t="s">
        <v>26</v>
      </c>
      <c r="I203" s="1">
        <v>1.829</v>
      </c>
      <c r="J203" s="1">
        <v>4.5970000000000004</v>
      </c>
      <c r="K203" s="1">
        <v>4.46</v>
      </c>
      <c r="L203" s="1">
        <v>0.49299999999999999</v>
      </c>
      <c r="M203" s="1">
        <v>0.38200000000000001</v>
      </c>
    </row>
    <row r="204" spans="1:14" x14ac:dyDescent="0.35">
      <c r="A204" s="1" t="s">
        <v>429</v>
      </c>
      <c r="B204" s="1">
        <v>2</v>
      </c>
      <c r="C204" s="1" t="s">
        <v>25</v>
      </c>
      <c r="D204" s="1" t="s">
        <v>26</v>
      </c>
      <c r="E204" s="1">
        <v>3</v>
      </c>
      <c r="F204" s="1">
        <v>131</v>
      </c>
      <c r="G204" s="1" t="s">
        <v>27</v>
      </c>
      <c r="H204" s="1" t="s">
        <v>26</v>
      </c>
      <c r="I204" s="1">
        <v>2.6819999999999999</v>
      </c>
      <c r="J204" s="1">
        <v>5.149</v>
      </c>
      <c r="K204" s="1" t="s">
        <v>26</v>
      </c>
      <c r="L204" s="1">
        <v>0.50800000000000001</v>
      </c>
      <c r="M204" s="1">
        <v>0.63900000000000001</v>
      </c>
    </row>
    <row r="205" spans="1:14" x14ac:dyDescent="0.35">
      <c r="A205" s="1" t="s">
        <v>431</v>
      </c>
      <c r="B205" s="1">
        <v>2</v>
      </c>
      <c r="C205" s="1" t="s">
        <v>32</v>
      </c>
      <c r="D205" s="1" t="s">
        <v>33</v>
      </c>
      <c r="E205" s="1">
        <v>3</v>
      </c>
      <c r="F205" s="1">
        <v>131</v>
      </c>
      <c r="G205" s="1" t="s">
        <v>27</v>
      </c>
      <c r="H205" s="1" t="s">
        <v>26</v>
      </c>
      <c r="I205" s="1">
        <v>0.75800000000000001</v>
      </c>
      <c r="J205" s="1">
        <v>2.613</v>
      </c>
      <c r="K205" s="1">
        <v>2.581</v>
      </c>
      <c r="L205" s="1">
        <v>0.23</v>
      </c>
      <c r="M205" s="1">
        <v>0.157</v>
      </c>
    </row>
    <row r="206" spans="1:14" x14ac:dyDescent="0.35">
      <c r="A206" s="1" t="s">
        <v>432</v>
      </c>
      <c r="B206" s="1">
        <v>2</v>
      </c>
      <c r="C206" s="1" t="s">
        <v>25</v>
      </c>
      <c r="D206" s="1" t="s">
        <v>26</v>
      </c>
      <c r="E206" s="1">
        <v>3</v>
      </c>
      <c r="F206" s="1">
        <v>132</v>
      </c>
      <c r="G206" s="1" t="s">
        <v>27</v>
      </c>
      <c r="H206" s="1" t="s">
        <v>26</v>
      </c>
      <c r="I206" s="1">
        <v>2.0859999999999999</v>
      </c>
      <c r="J206" s="1" t="s">
        <v>26</v>
      </c>
      <c r="K206" s="1">
        <v>4.1619999999999999</v>
      </c>
      <c r="L206" s="1">
        <v>0.47099999999999997</v>
      </c>
      <c r="M206" s="1">
        <v>0.45400000000000001</v>
      </c>
      <c r="N206" s="1" t="s">
        <v>433</v>
      </c>
    </row>
    <row r="207" spans="1:14" x14ac:dyDescent="0.35">
      <c r="A207" s="1" t="s">
        <v>434</v>
      </c>
      <c r="B207" s="1">
        <v>2</v>
      </c>
      <c r="C207" s="1" t="s">
        <v>32</v>
      </c>
      <c r="D207" s="1" t="s">
        <v>33</v>
      </c>
      <c r="E207" s="1">
        <v>3</v>
      </c>
      <c r="F207" s="1">
        <v>132</v>
      </c>
      <c r="G207" s="1" t="s">
        <v>27</v>
      </c>
      <c r="H207" s="1" t="s">
        <v>26</v>
      </c>
      <c r="I207" s="1">
        <v>0.65800000000000003</v>
      </c>
      <c r="J207" s="1">
        <v>2.1859999999999999</v>
      </c>
      <c r="K207" s="1">
        <v>2.16</v>
      </c>
      <c r="L207" s="1">
        <v>0.17699999999999999</v>
      </c>
      <c r="M207" s="1">
        <v>0.12</v>
      </c>
    </row>
    <row r="208" spans="1:14" x14ac:dyDescent="0.35">
      <c r="A208" s="1" t="s">
        <v>435</v>
      </c>
      <c r="B208" s="1">
        <v>2</v>
      </c>
      <c r="C208" s="1" t="s">
        <v>25</v>
      </c>
      <c r="D208" s="1" t="s">
        <v>26</v>
      </c>
      <c r="E208" s="1">
        <v>1</v>
      </c>
      <c r="F208" s="1">
        <v>133</v>
      </c>
      <c r="G208" s="1" t="s">
        <v>27</v>
      </c>
      <c r="H208" s="1" t="s">
        <v>26</v>
      </c>
      <c r="I208" s="1">
        <v>2.2210000000000001</v>
      </c>
      <c r="J208" s="1">
        <v>4.194</v>
      </c>
      <c r="K208" s="1">
        <v>4.1349999999999998</v>
      </c>
      <c r="L208" s="1">
        <v>0.47299999999999998</v>
      </c>
      <c r="M208" s="1">
        <v>0.51300000000000001</v>
      </c>
    </row>
    <row r="209" spans="1:13" x14ac:dyDescent="0.35">
      <c r="A209" s="1" t="s">
        <v>437</v>
      </c>
      <c r="B209" s="1">
        <v>2</v>
      </c>
      <c r="C209" s="1" t="s">
        <v>32</v>
      </c>
      <c r="D209" s="1" t="s">
        <v>33</v>
      </c>
      <c r="E209" s="1">
        <v>1</v>
      </c>
      <c r="F209" s="1">
        <v>133</v>
      </c>
      <c r="G209" s="1" t="s">
        <v>27</v>
      </c>
      <c r="H209" s="1" t="s">
        <v>26</v>
      </c>
      <c r="I209" s="1">
        <v>0.85599999999999998</v>
      </c>
      <c r="J209" s="1">
        <v>3.0009999999999999</v>
      </c>
      <c r="K209" s="1">
        <v>2.6259999999999999</v>
      </c>
      <c r="L209" s="1">
        <v>0.224</v>
      </c>
      <c r="M209" s="1">
        <v>0.128</v>
      </c>
    </row>
    <row r="210" spans="1:13" x14ac:dyDescent="0.35">
      <c r="A210" s="1" t="s">
        <v>438</v>
      </c>
      <c r="B210" s="1">
        <v>2</v>
      </c>
      <c r="C210" s="1" t="s">
        <v>25</v>
      </c>
      <c r="D210" s="1" t="s">
        <v>26</v>
      </c>
      <c r="E210" s="1">
        <v>5</v>
      </c>
      <c r="F210" s="1">
        <v>134</v>
      </c>
      <c r="G210" s="1" t="s">
        <v>38</v>
      </c>
      <c r="H210" s="1">
        <v>12</v>
      </c>
      <c r="I210" s="1">
        <v>2.4460000000000002</v>
      </c>
      <c r="J210" s="1">
        <v>4.5789999999999997</v>
      </c>
      <c r="K210" s="1">
        <v>4.7039999999999997</v>
      </c>
      <c r="L210" s="1">
        <v>0.53300000000000003</v>
      </c>
      <c r="M210" s="1">
        <v>0.747</v>
      </c>
    </row>
    <row r="211" spans="1:13" x14ac:dyDescent="0.35">
      <c r="A211" s="1" t="s">
        <v>440</v>
      </c>
      <c r="B211" s="1">
        <v>2</v>
      </c>
      <c r="C211" s="1" t="s">
        <v>32</v>
      </c>
      <c r="D211" s="1" t="s">
        <v>33</v>
      </c>
      <c r="E211" s="1">
        <v>5</v>
      </c>
      <c r="F211" s="1">
        <v>134</v>
      </c>
      <c r="G211" s="1" t="s">
        <v>38</v>
      </c>
      <c r="H211" s="1">
        <v>12</v>
      </c>
      <c r="I211" s="1">
        <v>0.63800000000000001</v>
      </c>
      <c r="J211" s="1">
        <v>2.1859999999999999</v>
      </c>
      <c r="K211" s="1">
        <v>2.214</v>
      </c>
      <c r="L211" s="1">
        <v>0.17499999999999999</v>
      </c>
      <c r="M211" s="1">
        <v>0.126</v>
      </c>
    </row>
    <row r="212" spans="1:13" x14ac:dyDescent="0.35">
      <c r="A212" s="1" t="s">
        <v>441</v>
      </c>
      <c r="B212" s="1">
        <v>2</v>
      </c>
      <c r="C212" s="1" t="s">
        <v>25</v>
      </c>
      <c r="D212" s="1" t="s">
        <v>26</v>
      </c>
      <c r="E212" s="1">
        <v>5</v>
      </c>
      <c r="F212" s="1">
        <v>135</v>
      </c>
      <c r="G212" s="1" t="s">
        <v>38</v>
      </c>
      <c r="H212" s="1">
        <v>12</v>
      </c>
      <c r="I212" s="1">
        <v>2.3450000000000002</v>
      </c>
      <c r="J212" s="1">
        <v>4.3559999999999999</v>
      </c>
      <c r="K212" s="1">
        <v>4.5279999999999996</v>
      </c>
      <c r="L212" s="1">
        <v>0.505</v>
      </c>
      <c r="M212" s="1">
        <v>0.65100000000000002</v>
      </c>
    </row>
    <row r="213" spans="1:13" x14ac:dyDescent="0.35">
      <c r="A213" s="1" t="s">
        <v>443</v>
      </c>
      <c r="B213" s="1">
        <v>2</v>
      </c>
      <c r="C213" s="1" t="s">
        <v>32</v>
      </c>
      <c r="D213" s="1" t="s">
        <v>33</v>
      </c>
      <c r="E213" s="1">
        <v>5</v>
      </c>
      <c r="F213" s="1">
        <v>135</v>
      </c>
      <c r="G213" s="1" t="s">
        <v>38</v>
      </c>
      <c r="H213" s="1">
        <v>12</v>
      </c>
      <c r="I213" s="1">
        <v>0.78</v>
      </c>
      <c r="J213" s="1">
        <v>2.573</v>
      </c>
      <c r="K213" s="1">
        <v>2.516</v>
      </c>
      <c r="L213" s="1">
        <v>0.21</v>
      </c>
      <c r="M213" s="1">
        <v>0.152</v>
      </c>
    </row>
    <row r="214" spans="1:13" x14ac:dyDescent="0.35">
      <c r="A214" s="1" t="s">
        <v>444</v>
      </c>
      <c r="B214" s="1">
        <v>2</v>
      </c>
      <c r="C214" s="1" t="s">
        <v>25</v>
      </c>
      <c r="D214" s="1" t="s">
        <v>26</v>
      </c>
      <c r="E214" s="1">
        <v>5</v>
      </c>
      <c r="F214" s="1">
        <v>136</v>
      </c>
      <c r="G214" s="1" t="s">
        <v>38</v>
      </c>
      <c r="H214" s="1">
        <v>12</v>
      </c>
      <c r="I214" s="1">
        <v>1.982</v>
      </c>
      <c r="J214" s="1">
        <v>4.5529999999999999</v>
      </c>
      <c r="K214" s="1">
        <v>4.3879999999999999</v>
      </c>
      <c r="L214" s="1">
        <v>0.47299999999999998</v>
      </c>
      <c r="M214" s="1">
        <v>0.42799999999999999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7C26-5FBA-40AF-B7B2-9E57248F7487}">
  <dimension ref="B1:Q60"/>
  <sheetViews>
    <sheetView topLeftCell="A12" zoomScaleNormal="100" workbookViewId="0">
      <selection activeCell="C43" sqref="C43"/>
    </sheetView>
  </sheetViews>
  <sheetFormatPr defaultRowHeight="14.5" x14ac:dyDescent="0.35"/>
  <cols>
    <col min="2" max="2" width="17.90625" bestFit="1" customWidth="1"/>
    <col min="3" max="3" width="19.54296875" bestFit="1" customWidth="1"/>
    <col min="4" max="4" width="3" bestFit="1" customWidth="1"/>
    <col min="5" max="5" width="17.90625" bestFit="1" customWidth="1"/>
    <col min="6" max="6" width="19.54296875" bestFit="1" customWidth="1"/>
    <col min="7" max="7" width="9" bestFit="1" customWidth="1"/>
    <col min="8" max="8" width="15.6328125" bestFit="1" customWidth="1"/>
    <col min="9" max="9" width="17.36328125" bestFit="1" customWidth="1"/>
    <col min="10" max="10" width="9" bestFit="1" customWidth="1"/>
    <col min="11" max="11" width="6.81640625" bestFit="1" customWidth="1"/>
    <col min="12" max="12" width="8.6328125" customWidth="1"/>
    <col min="13" max="13" width="10.453125" bestFit="1" customWidth="1"/>
    <col min="14" max="14" width="9" bestFit="1" customWidth="1"/>
    <col min="15" max="15" width="6.81640625" bestFit="1" customWidth="1"/>
    <col min="16" max="16" width="8.1796875" bestFit="1" customWidth="1"/>
    <col min="17" max="17" width="10.453125" bestFit="1" customWidth="1"/>
    <col min="18" max="18" width="7.81640625" bestFit="1" customWidth="1"/>
    <col min="19" max="19" width="6.6328125" bestFit="1" customWidth="1"/>
    <col min="20" max="20" width="10.453125" bestFit="1" customWidth="1"/>
    <col min="21" max="21" width="6.81640625" bestFit="1" customWidth="1"/>
    <col min="22" max="22" width="6.6328125" bestFit="1" customWidth="1"/>
    <col min="23" max="23" width="10.453125" bestFit="1" customWidth="1"/>
    <col min="27" max="27" width="16.81640625" bestFit="1" customWidth="1"/>
    <col min="28" max="28" width="14" bestFit="1" customWidth="1"/>
  </cols>
  <sheetData>
    <row r="1" spans="3:12" x14ac:dyDescent="0.35">
      <c r="I1" s="18" t="s">
        <v>469</v>
      </c>
    </row>
    <row r="2" spans="3:12" x14ac:dyDescent="0.35">
      <c r="H2" s="13" t="s">
        <v>463</v>
      </c>
      <c r="I2" s="13" t="s">
        <v>467</v>
      </c>
    </row>
    <row r="3" spans="3:12" x14ac:dyDescent="0.35">
      <c r="C3" s="18"/>
      <c r="H3" s="13" t="s">
        <v>461</v>
      </c>
      <c r="I3" t="s">
        <v>33</v>
      </c>
      <c r="J3" t="s">
        <v>26</v>
      </c>
      <c r="K3" t="s">
        <v>60</v>
      </c>
      <c r="L3" t="s">
        <v>462</v>
      </c>
    </row>
    <row r="4" spans="3:12" x14ac:dyDescent="0.35">
      <c r="H4" s="14" t="s">
        <v>25</v>
      </c>
      <c r="J4">
        <v>132</v>
      </c>
      <c r="L4">
        <v>132</v>
      </c>
    </row>
    <row r="5" spans="3:12" x14ac:dyDescent="0.35">
      <c r="H5" s="14" t="s">
        <v>203</v>
      </c>
      <c r="J5">
        <v>12</v>
      </c>
      <c r="L5">
        <v>12</v>
      </c>
    </row>
    <row r="6" spans="3:12" x14ac:dyDescent="0.35">
      <c r="H6" s="14" t="s">
        <v>32</v>
      </c>
      <c r="I6">
        <v>59</v>
      </c>
      <c r="K6">
        <v>22</v>
      </c>
      <c r="L6">
        <v>81</v>
      </c>
    </row>
    <row r="7" spans="3:12" x14ac:dyDescent="0.35">
      <c r="H7" s="14" t="s">
        <v>59</v>
      </c>
      <c r="I7">
        <v>5</v>
      </c>
      <c r="K7">
        <v>6</v>
      </c>
      <c r="L7">
        <v>11</v>
      </c>
    </row>
    <row r="8" spans="3:12" x14ac:dyDescent="0.35">
      <c r="H8" s="14" t="s">
        <v>462</v>
      </c>
      <c r="I8">
        <v>64</v>
      </c>
      <c r="J8">
        <v>144</v>
      </c>
      <c r="K8">
        <v>28</v>
      </c>
      <c r="L8">
        <v>236</v>
      </c>
    </row>
    <row r="10" spans="3:12" x14ac:dyDescent="0.35">
      <c r="C10" s="18"/>
    </row>
    <row r="15" spans="3:12" x14ac:dyDescent="0.35">
      <c r="C15" s="18" t="s">
        <v>470</v>
      </c>
    </row>
    <row r="18" spans="2:17" x14ac:dyDescent="0.35">
      <c r="B18" s="13" t="s">
        <v>463</v>
      </c>
      <c r="C18" s="13" t="s">
        <v>467</v>
      </c>
    </row>
    <row r="19" spans="2:17" x14ac:dyDescent="0.35">
      <c r="C19">
        <v>1</v>
      </c>
      <c r="I19" t="s">
        <v>475</v>
      </c>
      <c r="J19">
        <v>2</v>
      </c>
      <c r="P19" t="s">
        <v>476</v>
      </c>
      <c r="Q19" t="s">
        <v>462</v>
      </c>
    </row>
    <row r="20" spans="2:17" x14ac:dyDescent="0.35">
      <c r="C20" t="s">
        <v>33</v>
      </c>
      <c r="E20" t="s">
        <v>492</v>
      </c>
      <c r="F20" t="s">
        <v>60</v>
      </c>
      <c r="H20" t="s">
        <v>493</v>
      </c>
      <c r="J20" t="s">
        <v>33</v>
      </c>
      <c r="L20" t="s">
        <v>492</v>
      </c>
      <c r="M20" t="s">
        <v>60</v>
      </c>
      <c r="O20" t="s">
        <v>493</v>
      </c>
    </row>
    <row r="21" spans="2:17" x14ac:dyDescent="0.35">
      <c r="B21" s="13" t="s">
        <v>461</v>
      </c>
      <c r="C21" t="s">
        <v>38</v>
      </c>
      <c r="D21" t="s">
        <v>27</v>
      </c>
      <c r="F21" t="s">
        <v>38</v>
      </c>
      <c r="G21" t="s">
        <v>27</v>
      </c>
      <c r="J21" t="s">
        <v>38</v>
      </c>
      <c r="K21" t="s">
        <v>27</v>
      </c>
      <c r="M21" t="s">
        <v>38</v>
      </c>
      <c r="N21" t="s">
        <v>27</v>
      </c>
    </row>
    <row r="22" spans="2:17" x14ac:dyDescent="0.35">
      <c r="B22" s="14" t="s">
        <v>32</v>
      </c>
      <c r="C22">
        <v>7</v>
      </c>
      <c r="D22">
        <v>12</v>
      </c>
      <c r="E22">
        <v>19</v>
      </c>
      <c r="F22">
        <v>1</v>
      </c>
      <c r="G22">
        <v>1</v>
      </c>
      <c r="H22">
        <v>2</v>
      </c>
      <c r="I22">
        <v>21</v>
      </c>
      <c r="J22">
        <v>18</v>
      </c>
      <c r="K22">
        <v>22</v>
      </c>
      <c r="L22">
        <v>40</v>
      </c>
      <c r="M22">
        <v>15</v>
      </c>
      <c r="N22">
        <v>5</v>
      </c>
      <c r="O22">
        <v>20</v>
      </c>
      <c r="P22">
        <v>60</v>
      </c>
      <c r="Q22">
        <v>81</v>
      </c>
    </row>
    <row r="23" spans="2:17" x14ac:dyDescent="0.35">
      <c r="B23" s="14" t="s">
        <v>462</v>
      </c>
      <c r="C23">
        <v>7</v>
      </c>
      <c r="D23">
        <v>12</v>
      </c>
      <c r="E23">
        <v>19</v>
      </c>
      <c r="F23">
        <v>1</v>
      </c>
      <c r="G23">
        <v>1</v>
      </c>
      <c r="H23">
        <v>2</v>
      </c>
      <c r="I23">
        <v>21</v>
      </c>
      <c r="J23">
        <v>18</v>
      </c>
      <c r="K23">
        <v>22</v>
      </c>
      <c r="L23">
        <v>40</v>
      </c>
      <c r="M23">
        <v>15</v>
      </c>
      <c r="N23">
        <v>5</v>
      </c>
      <c r="O23">
        <v>20</v>
      </c>
      <c r="P23">
        <v>60</v>
      </c>
      <c r="Q23">
        <v>81</v>
      </c>
    </row>
    <row r="35" spans="5:13" x14ac:dyDescent="0.35">
      <c r="E35" s="19">
        <v>1</v>
      </c>
      <c r="F35" s="19"/>
      <c r="G35" s="19"/>
      <c r="K35" s="19" t="s">
        <v>33</v>
      </c>
      <c r="L35" s="19"/>
      <c r="M35" s="19" t="s">
        <v>492</v>
      </c>
    </row>
    <row r="36" spans="5:13" x14ac:dyDescent="0.35">
      <c r="E36" s="19" t="s">
        <v>33</v>
      </c>
      <c r="F36" s="19"/>
      <c r="G36" s="19" t="s">
        <v>492</v>
      </c>
      <c r="K36" s="21" t="s">
        <v>38</v>
      </c>
      <c r="L36" s="21" t="s">
        <v>27</v>
      </c>
      <c r="M36" s="21"/>
    </row>
    <row r="37" spans="5:13" x14ac:dyDescent="0.35">
      <c r="E37" s="21" t="s">
        <v>38</v>
      </c>
      <c r="F37" s="21" t="s">
        <v>27</v>
      </c>
      <c r="G37" s="21"/>
    </row>
    <row r="38" spans="5:13" x14ac:dyDescent="0.35">
      <c r="K38">
        <v>18</v>
      </c>
      <c r="L38">
        <v>22</v>
      </c>
      <c r="M38">
        <v>40</v>
      </c>
    </row>
    <row r="39" spans="5:13" x14ac:dyDescent="0.35">
      <c r="E39">
        <v>7</v>
      </c>
      <c r="F39">
        <v>12</v>
      </c>
      <c r="G39">
        <v>19</v>
      </c>
      <c r="K39" s="47">
        <v>18</v>
      </c>
      <c r="L39" s="47">
        <v>22</v>
      </c>
      <c r="M39" s="47">
        <v>40</v>
      </c>
    </row>
    <row r="40" spans="5:13" x14ac:dyDescent="0.35">
      <c r="E40" s="47">
        <v>7</v>
      </c>
      <c r="F40" s="47">
        <v>12</v>
      </c>
      <c r="G40" s="47">
        <v>19</v>
      </c>
    </row>
    <row r="44" spans="5:13" x14ac:dyDescent="0.35">
      <c r="E44" s="13" t="s">
        <v>463</v>
      </c>
      <c r="F44" s="13" t="s">
        <v>467</v>
      </c>
    </row>
    <row r="45" spans="5:13" x14ac:dyDescent="0.35">
      <c r="F45">
        <v>2</v>
      </c>
      <c r="L45" t="s">
        <v>476</v>
      </c>
      <c r="M45" t="s">
        <v>462</v>
      </c>
    </row>
    <row r="46" spans="5:13" x14ac:dyDescent="0.35">
      <c r="F46" t="s">
        <v>33</v>
      </c>
      <c r="H46" t="s">
        <v>492</v>
      </c>
      <c r="I46" t="s">
        <v>60</v>
      </c>
      <c r="K46" t="s">
        <v>493</v>
      </c>
    </row>
    <row r="47" spans="5:13" x14ac:dyDescent="0.35">
      <c r="E47" s="13" t="s">
        <v>461</v>
      </c>
      <c r="F47" t="s">
        <v>38</v>
      </c>
      <c r="G47" t="s">
        <v>27</v>
      </c>
      <c r="I47" t="s">
        <v>38</v>
      </c>
      <c r="J47" t="s">
        <v>27</v>
      </c>
    </row>
    <row r="48" spans="5:13" x14ac:dyDescent="0.35">
      <c r="E48" s="14" t="s">
        <v>32</v>
      </c>
      <c r="F48">
        <v>18</v>
      </c>
      <c r="G48">
        <v>22</v>
      </c>
      <c r="H48">
        <v>40</v>
      </c>
      <c r="I48">
        <v>15</v>
      </c>
      <c r="J48">
        <v>5</v>
      </c>
      <c r="K48">
        <v>20</v>
      </c>
      <c r="L48">
        <v>60</v>
      </c>
      <c r="M48">
        <v>60</v>
      </c>
    </row>
    <row r="49" spans="5:14" x14ac:dyDescent="0.35">
      <c r="E49" s="14" t="s">
        <v>462</v>
      </c>
      <c r="F49">
        <v>18</v>
      </c>
      <c r="G49">
        <v>22</v>
      </c>
      <c r="H49">
        <v>40</v>
      </c>
      <c r="I49">
        <v>15</v>
      </c>
      <c r="J49">
        <v>5</v>
      </c>
      <c r="K49">
        <v>20</v>
      </c>
      <c r="L49">
        <v>60</v>
      </c>
      <c r="M49">
        <v>60</v>
      </c>
    </row>
    <row r="50" spans="5:14" ht="15" thickBot="1" x14ac:dyDescent="0.4"/>
    <row r="51" spans="5:14" ht="15.5" thickTop="1" thickBot="1" x14ac:dyDescent="0.4">
      <c r="E51" s="39" t="s">
        <v>496</v>
      </c>
      <c r="F51" s="54" t="s">
        <v>482</v>
      </c>
      <c r="G51" s="55"/>
      <c r="H51" s="55"/>
      <c r="I51" s="55"/>
      <c r="J51" s="55"/>
      <c r="K51" s="55"/>
      <c r="L51" s="56"/>
      <c r="N51" s="48" t="s">
        <v>462</v>
      </c>
    </row>
    <row r="52" spans="5:14" ht="15.5" thickTop="1" thickBot="1" x14ac:dyDescent="0.4">
      <c r="E52" s="24"/>
      <c r="F52" s="54" t="s">
        <v>487</v>
      </c>
      <c r="G52" s="55"/>
      <c r="H52" s="55"/>
      <c r="I52" s="60" t="s">
        <v>489</v>
      </c>
      <c r="J52" s="61"/>
      <c r="K52" s="62"/>
      <c r="L52" s="24" t="s">
        <v>481</v>
      </c>
      <c r="N52" s="49"/>
    </row>
    <row r="53" spans="5:14" ht="15.5" thickTop="1" thickBot="1" x14ac:dyDescent="0.4">
      <c r="E53" s="42"/>
      <c r="F53" s="24" t="s">
        <v>494</v>
      </c>
      <c r="G53" s="36" t="s">
        <v>495</v>
      </c>
      <c r="H53" s="24" t="s">
        <v>481</v>
      </c>
      <c r="I53" s="37" t="s">
        <v>494</v>
      </c>
      <c r="J53" s="24" t="s">
        <v>495</v>
      </c>
      <c r="K53" s="23" t="s">
        <v>481</v>
      </c>
      <c r="L53" s="24"/>
      <c r="N53" s="50"/>
    </row>
    <row r="54" spans="5:14" ht="15.5" thickTop="1" thickBot="1" x14ac:dyDescent="0.4">
      <c r="E54" s="42" t="s">
        <v>478</v>
      </c>
      <c r="F54" s="24">
        <v>12</v>
      </c>
      <c r="G54" s="42">
        <v>7</v>
      </c>
      <c r="H54" s="40">
        <v>19</v>
      </c>
      <c r="I54" s="41">
        <v>1</v>
      </c>
      <c r="J54" s="40">
        <v>1</v>
      </c>
      <c r="K54" s="44">
        <v>2</v>
      </c>
      <c r="L54" s="44">
        <v>21</v>
      </c>
      <c r="N54" s="51">
        <v>81</v>
      </c>
    </row>
    <row r="55" spans="5:14" ht="15.5" thickTop="1" thickBot="1" x14ac:dyDescent="0.4">
      <c r="E55" s="52"/>
      <c r="F55" s="42"/>
      <c r="G55" s="41"/>
      <c r="H55" s="41"/>
      <c r="I55" s="41"/>
      <c r="J55" s="41"/>
      <c r="K55" s="41"/>
      <c r="L55" s="44"/>
    </row>
    <row r="56" spans="5:14" ht="15.5" thickTop="1" thickBot="1" x14ac:dyDescent="0.4">
      <c r="E56" s="39" t="s">
        <v>496</v>
      </c>
      <c r="F56" s="57" t="s">
        <v>483</v>
      </c>
      <c r="G56" s="58"/>
      <c r="H56" s="58"/>
      <c r="I56" s="58"/>
      <c r="J56" s="58"/>
      <c r="K56" s="58"/>
      <c r="L56" s="59"/>
    </row>
    <row r="57" spans="5:14" ht="15.5" thickTop="1" thickBot="1" x14ac:dyDescent="0.4">
      <c r="E57" s="24"/>
      <c r="F57" s="60" t="s">
        <v>487</v>
      </c>
      <c r="G57" s="61"/>
      <c r="H57" s="61"/>
      <c r="I57" s="60" t="s">
        <v>489</v>
      </c>
      <c r="J57" s="61"/>
      <c r="K57" s="56"/>
      <c r="L57" s="46" t="s">
        <v>481</v>
      </c>
    </row>
    <row r="58" spans="5:14" ht="15.5" thickTop="1" thickBot="1" x14ac:dyDescent="0.4">
      <c r="E58" s="42"/>
      <c r="F58" s="42" t="s">
        <v>494</v>
      </c>
      <c r="G58" s="36" t="s">
        <v>495</v>
      </c>
      <c r="H58" s="24" t="s">
        <v>481</v>
      </c>
      <c r="I58" s="41" t="s">
        <v>494</v>
      </c>
      <c r="J58" s="24" t="s">
        <v>495</v>
      </c>
      <c r="K58" s="36" t="s">
        <v>481</v>
      </c>
      <c r="L58" s="24"/>
    </row>
    <row r="59" spans="5:14" ht="15.5" thickTop="1" thickBot="1" x14ac:dyDescent="0.4">
      <c r="E59" s="42" t="s">
        <v>478</v>
      </c>
      <c r="F59" s="24">
        <v>22</v>
      </c>
      <c r="G59" s="24">
        <v>18</v>
      </c>
      <c r="H59" s="40">
        <v>40</v>
      </c>
      <c r="I59" s="18">
        <v>5</v>
      </c>
      <c r="J59" s="40">
        <v>15</v>
      </c>
      <c r="K59" s="24">
        <v>20</v>
      </c>
      <c r="L59" s="44">
        <v>60</v>
      </c>
    </row>
    <row r="60" spans="5:14" ht="15" thickTop="1" x14ac:dyDescent="0.35">
      <c r="F60" s="26"/>
      <c r="I60" s="26"/>
    </row>
  </sheetData>
  <mergeCells count="6">
    <mergeCell ref="F51:L51"/>
    <mergeCell ref="F56:L56"/>
    <mergeCell ref="F52:H52"/>
    <mergeCell ref="I52:K52"/>
    <mergeCell ref="F57:H57"/>
    <mergeCell ref="I57:K5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C5AA-12C8-467A-9242-4B5566F48D74}">
  <dimension ref="B9:AL34"/>
  <sheetViews>
    <sheetView topLeftCell="A7" zoomScaleNormal="100" workbookViewId="0">
      <selection activeCell="N37" sqref="N37"/>
    </sheetView>
  </sheetViews>
  <sheetFormatPr defaultRowHeight="14.5" x14ac:dyDescent="0.35"/>
  <cols>
    <col min="5" max="5" width="12.08984375" bestFit="1" customWidth="1"/>
    <col min="6" max="6" width="18.08984375" bestFit="1" customWidth="1"/>
    <col min="7" max="7" width="9.08984375" bestFit="1" customWidth="1"/>
    <col min="8" max="8" width="10" bestFit="1" customWidth="1"/>
    <col min="9" max="10" width="2" bestFit="1" customWidth="1"/>
    <col min="11" max="11" width="3" customWidth="1"/>
    <col min="12" max="12" width="10" bestFit="1" customWidth="1"/>
    <col min="13" max="13" width="2" bestFit="1" customWidth="1"/>
    <col min="14" max="17" width="3" bestFit="1" customWidth="1"/>
    <col min="18" max="18" width="4" bestFit="1" customWidth="1"/>
    <col min="19" max="19" width="10" bestFit="1" customWidth="1"/>
    <col min="26" max="26" width="10" customWidth="1"/>
    <col min="27" max="38" width="4.81640625" customWidth="1"/>
  </cols>
  <sheetData>
    <row r="9" spans="2:38" x14ac:dyDescent="0.35">
      <c r="F9" s="13" t="s">
        <v>467</v>
      </c>
    </row>
    <row r="10" spans="2:38" x14ac:dyDescent="0.35">
      <c r="F10">
        <v>1</v>
      </c>
      <c r="G10">
        <v>2</v>
      </c>
      <c r="H10" t="s">
        <v>462</v>
      </c>
    </row>
    <row r="11" spans="2:38" ht="15" thickBot="1" x14ac:dyDescent="0.4">
      <c r="E11" t="s">
        <v>491</v>
      </c>
      <c r="F11">
        <v>5</v>
      </c>
      <c r="G11">
        <v>12</v>
      </c>
      <c r="H11">
        <v>12</v>
      </c>
    </row>
    <row r="12" spans="2:38" ht="15.5" thickTop="1" thickBot="1" x14ac:dyDescent="0.4">
      <c r="Z12" s="30" t="s">
        <v>484</v>
      </c>
      <c r="AA12" s="30">
        <v>1</v>
      </c>
      <c r="AB12" s="30">
        <v>2</v>
      </c>
      <c r="AC12" s="33">
        <v>3</v>
      </c>
      <c r="AD12" s="32">
        <v>4</v>
      </c>
      <c r="AE12" s="32">
        <v>5</v>
      </c>
      <c r="AF12" s="32">
        <v>6</v>
      </c>
      <c r="AG12" s="31">
        <v>7</v>
      </c>
      <c r="AH12" s="30">
        <v>8</v>
      </c>
      <c r="AI12" s="33">
        <v>9</v>
      </c>
      <c r="AJ12" s="32">
        <v>10</v>
      </c>
      <c r="AK12" s="31">
        <v>11</v>
      </c>
      <c r="AL12" s="33">
        <v>12</v>
      </c>
    </row>
    <row r="13" spans="2:38" ht="15.5" thickTop="1" thickBot="1" x14ac:dyDescent="0.4">
      <c r="Z13" s="27" t="s">
        <v>485</v>
      </c>
      <c r="AA13" s="27">
        <v>6</v>
      </c>
      <c r="AB13" s="27">
        <v>13</v>
      </c>
      <c r="AC13" s="34">
        <v>15</v>
      </c>
      <c r="AD13" s="29">
        <v>4</v>
      </c>
      <c r="AE13" s="29">
        <v>5</v>
      </c>
      <c r="AF13" s="29">
        <v>8</v>
      </c>
      <c r="AG13" s="28">
        <v>3</v>
      </c>
      <c r="AH13" s="27">
        <v>3</v>
      </c>
      <c r="AI13" s="34">
        <v>5</v>
      </c>
      <c r="AJ13" s="29">
        <v>3</v>
      </c>
      <c r="AK13" s="28">
        <v>4</v>
      </c>
      <c r="AL13" s="34">
        <v>3</v>
      </c>
    </row>
    <row r="14" spans="2:38" ht="15" thickTop="1" x14ac:dyDescent="0.35">
      <c r="B14">
        <f>81/132</f>
        <v>0.61363636363636365</v>
      </c>
    </row>
    <row r="15" spans="2:38" ht="15" thickBot="1" x14ac:dyDescent="0.4"/>
    <row r="16" spans="2:38" ht="15.5" thickTop="1" thickBot="1" x14ac:dyDescent="0.4">
      <c r="E16" s="24"/>
      <c r="F16" s="63" t="s">
        <v>482</v>
      </c>
      <c r="G16" s="64"/>
      <c r="H16" s="65"/>
      <c r="I16" s="63" t="s">
        <v>483</v>
      </c>
      <c r="J16" s="64"/>
      <c r="K16" s="66"/>
      <c r="L16" s="23"/>
    </row>
    <row r="17" spans="5:17" ht="15.5" thickTop="1" thickBot="1" x14ac:dyDescent="0.4">
      <c r="E17" s="43"/>
      <c r="F17" s="24" t="s">
        <v>479</v>
      </c>
      <c r="G17" s="23" t="s">
        <v>480</v>
      </c>
      <c r="H17" s="23" t="s">
        <v>481</v>
      </c>
      <c r="I17" s="24" t="s">
        <v>479</v>
      </c>
      <c r="J17" s="23" t="s">
        <v>480</v>
      </c>
      <c r="K17" s="23" t="s">
        <v>481</v>
      </c>
      <c r="L17" s="25" t="s">
        <v>462</v>
      </c>
    </row>
    <row r="18" spans="5:17" ht="15.5" thickTop="1" thickBot="1" x14ac:dyDescent="0.4">
      <c r="E18" s="24" t="s">
        <v>477</v>
      </c>
      <c r="F18" s="40">
        <v>43</v>
      </c>
      <c r="G18" s="44">
        <v>32</v>
      </c>
      <c r="H18" s="44">
        <v>75</v>
      </c>
      <c r="I18" s="40">
        <v>29</v>
      </c>
      <c r="J18" s="44">
        <v>28</v>
      </c>
      <c r="K18" s="44">
        <v>57</v>
      </c>
      <c r="L18" s="45">
        <v>132</v>
      </c>
    </row>
    <row r="19" spans="5:17" ht="15.5" thickTop="1" thickBot="1" x14ac:dyDescent="0.4">
      <c r="E19" s="43" t="s">
        <v>478</v>
      </c>
      <c r="F19" s="40">
        <v>8</v>
      </c>
      <c r="G19" s="44">
        <v>13</v>
      </c>
      <c r="H19" s="44">
        <v>21</v>
      </c>
      <c r="I19" s="40">
        <v>33</v>
      </c>
      <c r="J19" s="44">
        <v>27</v>
      </c>
      <c r="K19" s="44">
        <v>60</v>
      </c>
      <c r="L19" s="45">
        <v>81</v>
      </c>
    </row>
    <row r="20" spans="5:17" ht="15.5" thickTop="1" thickBot="1" x14ac:dyDescent="0.4">
      <c r="E20" s="24" t="s">
        <v>462</v>
      </c>
      <c r="F20" s="40"/>
      <c r="G20" s="44"/>
      <c r="H20" s="44">
        <v>96</v>
      </c>
      <c r="I20" s="40"/>
      <c r="J20" s="25"/>
      <c r="K20" s="44">
        <v>117</v>
      </c>
      <c r="L20" s="24">
        <v>213</v>
      </c>
    </row>
    <row r="21" spans="5:17" ht="15" thickTop="1" x14ac:dyDescent="0.35">
      <c r="J21" s="26"/>
    </row>
    <row r="22" spans="5:17" ht="15" thickBot="1" x14ac:dyDescent="0.4"/>
    <row r="23" spans="5:17" ht="15.5" thickTop="1" thickBot="1" x14ac:dyDescent="0.4">
      <c r="E23" s="36" t="s">
        <v>484</v>
      </c>
      <c r="F23" s="36">
        <v>1</v>
      </c>
      <c r="G23" s="36">
        <v>2</v>
      </c>
      <c r="H23" s="24">
        <v>3</v>
      </c>
      <c r="I23" s="23">
        <v>4</v>
      </c>
      <c r="J23" s="23">
        <v>5</v>
      </c>
      <c r="K23" s="23">
        <v>6</v>
      </c>
      <c r="L23" s="37">
        <v>7</v>
      </c>
      <c r="M23" s="36">
        <v>8</v>
      </c>
      <c r="N23" s="24">
        <v>9</v>
      </c>
      <c r="O23" s="23">
        <v>10</v>
      </c>
      <c r="P23" s="37">
        <v>11</v>
      </c>
      <c r="Q23" s="24">
        <v>12</v>
      </c>
    </row>
    <row r="24" spans="5:17" ht="15.5" thickTop="1" thickBot="1" x14ac:dyDescent="0.4">
      <c r="E24" s="42" t="s">
        <v>485</v>
      </c>
      <c r="F24" s="42">
        <v>6</v>
      </c>
      <c r="G24" s="42">
        <v>13</v>
      </c>
      <c r="H24" s="40">
        <v>15</v>
      </c>
      <c r="I24" s="44">
        <v>4</v>
      </c>
      <c r="J24" s="44">
        <v>5</v>
      </c>
      <c r="K24" s="44">
        <v>8</v>
      </c>
      <c r="L24" s="41">
        <v>3</v>
      </c>
      <c r="M24" s="42">
        <v>3</v>
      </c>
      <c r="N24" s="40">
        <v>5</v>
      </c>
      <c r="O24" s="44">
        <v>3</v>
      </c>
      <c r="P24" s="41">
        <v>4</v>
      </c>
      <c r="Q24" s="40">
        <v>3</v>
      </c>
    </row>
    <row r="25" spans="5:17" ht="15" thickTop="1" x14ac:dyDescent="0.35"/>
    <row r="27" spans="5:17" x14ac:dyDescent="0.35">
      <c r="E27" s="19"/>
      <c r="F27" s="19">
        <v>1</v>
      </c>
      <c r="G27" s="19"/>
      <c r="H27" s="20" t="s">
        <v>475</v>
      </c>
      <c r="I27" s="19">
        <v>2</v>
      </c>
      <c r="J27" s="19"/>
      <c r="K27" s="20" t="s">
        <v>476</v>
      </c>
      <c r="L27" s="19" t="s">
        <v>462</v>
      </c>
    </row>
    <row r="28" spans="5:17" x14ac:dyDescent="0.35">
      <c r="E28" s="21" t="s">
        <v>461</v>
      </c>
      <c r="F28" s="21" t="s">
        <v>33</v>
      </c>
      <c r="G28" s="21" t="s">
        <v>60</v>
      </c>
      <c r="H28" s="22"/>
      <c r="I28" s="21" t="s">
        <v>33</v>
      </c>
      <c r="J28" s="21" t="s">
        <v>60</v>
      </c>
      <c r="K28" s="22"/>
      <c r="L28" s="21"/>
    </row>
    <row r="29" spans="5:17" x14ac:dyDescent="0.35">
      <c r="E29" s="14" t="s">
        <v>32</v>
      </c>
      <c r="F29">
        <v>19</v>
      </c>
      <c r="G29">
        <v>2</v>
      </c>
      <c r="H29" s="35">
        <v>21</v>
      </c>
      <c r="I29">
        <v>40</v>
      </c>
      <c r="J29">
        <v>20</v>
      </c>
      <c r="K29" s="35">
        <v>60</v>
      </c>
      <c r="L29">
        <v>81</v>
      </c>
    </row>
    <row r="30" spans="5:17" ht="15" thickBot="1" x14ac:dyDescent="0.4"/>
    <row r="31" spans="5:17" ht="15.5" thickTop="1" thickBot="1" x14ac:dyDescent="0.4">
      <c r="E31" s="39"/>
      <c r="F31" s="60" t="s">
        <v>488</v>
      </c>
      <c r="G31" s="61"/>
      <c r="H31" s="62"/>
      <c r="I31" s="55" t="s">
        <v>483</v>
      </c>
      <c r="J31" s="55"/>
      <c r="K31" s="56"/>
    </row>
    <row r="32" spans="5:17" ht="15.5" thickTop="1" thickBot="1" x14ac:dyDescent="0.4">
      <c r="E32" s="24"/>
      <c r="F32" s="40" t="s">
        <v>487</v>
      </c>
      <c r="G32" s="41" t="s">
        <v>489</v>
      </c>
      <c r="H32" s="24" t="s">
        <v>481</v>
      </c>
      <c r="I32" s="36" t="s">
        <v>490</v>
      </c>
      <c r="J32" s="24" t="s">
        <v>489</v>
      </c>
      <c r="K32" s="24" t="s">
        <v>481</v>
      </c>
    </row>
    <row r="33" spans="5:12" ht="15.5" thickTop="1" thickBot="1" x14ac:dyDescent="0.4">
      <c r="E33" s="42" t="s">
        <v>486</v>
      </c>
      <c r="F33" s="40">
        <v>19</v>
      </c>
      <c r="G33" s="41">
        <v>2</v>
      </c>
      <c r="H33" s="24">
        <v>21</v>
      </c>
      <c r="I33" s="24">
        <v>40</v>
      </c>
      <c r="J33" s="40">
        <v>20</v>
      </c>
      <c r="K33" s="18">
        <v>60</v>
      </c>
      <c r="L33" s="38"/>
    </row>
    <row r="34" spans="5:12" ht="15" thickTop="1" x14ac:dyDescent="0.35">
      <c r="K34" s="26"/>
    </row>
  </sheetData>
  <mergeCells count="4">
    <mergeCell ref="F16:H16"/>
    <mergeCell ref="I16:K16"/>
    <mergeCell ref="F31:H31"/>
    <mergeCell ref="I31:K3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8D33-390B-43DC-A5DB-20E9EA9F057C}">
  <dimension ref="A1:L82"/>
  <sheetViews>
    <sheetView workbookViewId="0">
      <selection activeCell="K1" sqref="K1:L1048576"/>
    </sheetView>
  </sheetViews>
  <sheetFormatPr defaultRowHeight="14.5" x14ac:dyDescent="0.35"/>
  <cols>
    <col min="7" max="7" width="15.36328125" customWidth="1"/>
    <col min="9" max="9" width="15.81640625" customWidth="1"/>
    <col min="11" max="12" width="8.7265625" style="1"/>
  </cols>
  <sheetData>
    <row r="1" spans="1:12" x14ac:dyDescent="0.35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4" t="s">
        <v>466</v>
      </c>
      <c r="K1" s="1" t="s">
        <v>1</v>
      </c>
      <c r="L1" s="1" t="s">
        <v>499</v>
      </c>
    </row>
    <row r="2" spans="1:12" x14ac:dyDescent="0.35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53">
        <v>0.17699999999999999</v>
      </c>
      <c r="K2" s="12">
        <f>VLOOKUP(TRIM(A2 &amp; ""), 'planilha crua'!$A$2:$B$10000, 2, FALSE)</f>
        <v>45401</v>
      </c>
      <c r="L2" s="1">
        <f>INT((DATE(2000, MONTH(K2), DAY(K2)) - DATE(2000, 3, 12)) / 15) + 1</f>
        <v>3</v>
      </c>
    </row>
    <row r="3" spans="1:12" x14ac:dyDescent="0.35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53">
        <v>0.26</v>
      </c>
      <c r="K3" s="12">
        <f>VLOOKUP(TRIM(A3 &amp; ""), 'planilha crua'!$A$2:$B$10000, 2, FALSE)</f>
        <v>45401</v>
      </c>
      <c r="L3" s="1">
        <f t="shared" ref="L3:L66" si="0">INT((DATE(2000, MONTH(K3), DAY(K3)) - DATE(2000, 3, 12)) / 15) + 1</f>
        <v>3</v>
      </c>
    </row>
    <row r="4" spans="1:12" x14ac:dyDescent="0.35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53">
        <v>0.14499999999999999</v>
      </c>
      <c r="K4" s="12">
        <f>VLOOKUP(TRIM(A4 &amp; ""), 'planilha crua'!$A$2:$B$10000, 2, FALSE)</f>
        <v>45401</v>
      </c>
      <c r="L4" s="1">
        <f t="shared" si="0"/>
        <v>3</v>
      </c>
    </row>
    <row r="5" spans="1:12" x14ac:dyDescent="0.35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53">
        <v>0.182</v>
      </c>
      <c r="K5" s="12">
        <f>VLOOKUP(TRIM(A5 &amp; ""), 'planilha crua'!$A$2:$B$10000, 2, FALSE)</f>
        <v>45404</v>
      </c>
      <c r="L5" s="1">
        <f t="shared" si="0"/>
        <v>3</v>
      </c>
    </row>
    <row r="6" spans="1:12" x14ac:dyDescent="0.35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53">
        <v>0.17100000000000001</v>
      </c>
      <c r="K6" s="12">
        <f>VLOOKUP(TRIM(A6 &amp; ""), 'planilha crua'!$A$2:$B$10000, 2, FALSE)</f>
        <v>45404</v>
      </c>
      <c r="L6" s="1">
        <f t="shared" si="0"/>
        <v>3</v>
      </c>
    </row>
    <row r="7" spans="1:12" x14ac:dyDescent="0.35">
      <c r="A7" s="1" t="s">
        <v>160</v>
      </c>
      <c r="B7" s="6">
        <v>1</v>
      </c>
      <c r="C7" s="1" t="s">
        <v>25</v>
      </c>
      <c r="D7" s="1" t="s">
        <v>26</v>
      </c>
      <c r="E7" s="1" t="s">
        <v>117</v>
      </c>
      <c r="F7" s="1">
        <v>45</v>
      </c>
      <c r="G7" s="1" t="s">
        <v>38</v>
      </c>
      <c r="H7" s="1">
        <v>4</v>
      </c>
      <c r="I7" s="1">
        <v>0.35</v>
      </c>
      <c r="J7" s="53">
        <v>0.14399999999999999</v>
      </c>
      <c r="K7" s="12">
        <f>VLOOKUP(TRIM(A7 &amp; ""), 'planilha crua'!$A$2:$B$10000, 2, FALSE)</f>
        <v>45404</v>
      </c>
      <c r="L7" s="1">
        <f t="shared" si="0"/>
        <v>3</v>
      </c>
    </row>
    <row r="8" spans="1:12" x14ac:dyDescent="0.35">
      <c r="A8" s="1" t="s">
        <v>163</v>
      </c>
      <c r="B8" s="6">
        <v>1</v>
      </c>
      <c r="C8" s="1" t="s">
        <v>25</v>
      </c>
      <c r="D8" s="1" t="s">
        <v>26</v>
      </c>
      <c r="E8" s="1" t="s">
        <v>117</v>
      </c>
      <c r="F8" s="1">
        <v>46</v>
      </c>
      <c r="G8" s="1" t="s">
        <v>38</v>
      </c>
      <c r="H8" s="1">
        <v>4</v>
      </c>
      <c r="I8" s="1">
        <v>0.497</v>
      </c>
      <c r="J8" s="53">
        <v>0.16700000000000001</v>
      </c>
      <c r="K8" s="12">
        <f>VLOOKUP(TRIM(A8 &amp; ""), 'planilha crua'!$A$2:$B$10000, 2, FALSE)</f>
        <v>45404</v>
      </c>
      <c r="L8" s="1">
        <f t="shared" si="0"/>
        <v>3</v>
      </c>
    </row>
    <row r="9" spans="1:12" x14ac:dyDescent="0.35">
      <c r="A9" s="1" t="s">
        <v>209</v>
      </c>
      <c r="B9" s="6">
        <v>1</v>
      </c>
      <c r="C9" s="1" t="s">
        <v>25</v>
      </c>
      <c r="D9" s="1" t="s">
        <v>26</v>
      </c>
      <c r="E9" s="1">
        <v>5</v>
      </c>
      <c r="F9" s="1">
        <v>61</v>
      </c>
      <c r="G9" s="1" t="s">
        <v>38</v>
      </c>
      <c r="H9" s="1">
        <v>5</v>
      </c>
      <c r="I9" s="1">
        <v>0.52</v>
      </c>
      <c r="J9" s="53">
        <v>0.26500000000000001</v>
      </c>
      <c r="K9" s="12">
        <f>VLOOKUP(TRIM(A9 &amp; ""), 'planilha crua'!$A$2:$B$10000, 2, FALSE)</f>
        <v>45412</v>
      </c>
      <c r="L9" s="1">
        <f t="shared" si="0"/>
        <v>4</v>
      </c>
    </row>
    <row r="10" spans="1:12" x14ac:dyDescent="0.35">
      <c r="A10" s="1" t="s">
        <v>270</v>
      </c>
      <c r="B10" s="1">
        <v>2</v>
      </c>
      <c r="C10" s="1" t="s">
        <v>25</v>
      </c>
      <c r="D10" s="1" t="s">
        <v>26</v>
      </c>
      <c r="E10" s="1">
        <v>3</v>
      </c>
      <c r="F10" s="1">
        <v>84</v>
      </c>
      <c r="G10" s="1" t="s">
        <v>38</v>
      </c>
      <c r="H10" s="1">
        <v>6</v>
      </c>
      <c r="I10" s="1">
        <v>0.498</v>
      </c>
      <c r="J10" s="53">
        <v>0.20699999999999999</v>
      </c>
      <c r="K10" s="12">
        <f>VLOOKUP(TRIM(A10 &amp; ""), 'planilha crua'!$A$2:$B$10000, 2, FALSE)</f>
        <v>45728</v>
      </c>
      <c r="L10" s="1">
        <f t="shared" si="0"/>
        <v>1</v>
      </c>
    </row>
    <row r="11" spans="1:12" x14ac:dyDescent="0.35">
      <c r="A11" s="1" t="s">
        <v>272</v>
      </c>
      <c r="B11" s="1">
        <v>2</v>
      </c>
      <c r="C11" s="1" t="s">
        <v>25</v>
      </c>
      <c r="D11" s="1" t="s">
        <v>26</v>
      </c>
      <c r="E11" s="1">
        <v>3</v>
      </c>
      <c r="F11" s="1">
        <v>85</v>
      </c>
      <c r="G11" s="1" t="s">
        <v>38</v>
      </c>
      <c r="H11" s="1">
        <v>6</v>
      </c>
      <c r="I11" s="1">
        <v>0.54500000000000004</v>
      </c>
      <c r="J11" s="53">
        <v>0.152</v>
      </c>
      <c r="K11" s="12">
        <f>VLOOKUP(TRIM(A11 &amp; ""), 'planilha crua'!$A$2:$B$10000, 2, FALSE)</f>
        <v>45728</v>
      </c>
      <c r="L11" s="1">
        <f t="shared" si="0"/>
        <v>1</v>
      </c>
    </row>
    <row r="12" spans="1:12" x14ac:dyDescent="0.35">
      <c r="A12" s="1" t="s">
        <v>272</v>
      </c>
      <c r="B12" s="1">
        <v>2</v>
      </c>
      <c r="C12" s="1" t="s">
        <v>25</v>
      </c>
      <c r="D12" s="1" t="s">
        <v>26</v>
      </c>
      <c r="E12" s="1">
        <v>3</v>
      </c>
      <c r="F12" s="1">
        <v>85</v>
      </c>
      <c r="G12" s="1" t="s">
        <v>38</v>
      </c>
      <c r="H12" s="1">
        <v>6</v>
      </c>
      <c r="I12" s="1">
        <v>0.54500000000000004</v>
      </c>
      <c r="J12" s="53">
        <v>0.28599999999999998</v>
      </c>
      <c r="K12" s="12">
        <f>VLOOKUP(TRIM(A12 &amp; ""), 'planilha crua'!$A$2:$B$10000, 2, FALSE)</f>
        <v>45728</v>
      </c>
      <c r="L12" s="1">
        <f t="shared" si="0"/>
        <v>1</v>
      </c>
    </row>
    <row r="13" spans="1:12" x14ac:dyDescent="0.35">
      <c r="A13" s="1" t="s">
        <v>276</v>
      </c>
      <c r="B13" s="1">
        <v>2</v>
      </c>
      <c r="C13" s="1" t="s">
        <v>25</v>
      </c>
      <c r="D13" s="1" t="s">
        <v>26</v>
      </c>
      <c r="E13" s="1">
        <v>3</v>
      </c>
      <c r="F13" s="1">
        <v>86</v>
      </c>
      <c r="G13" s="1" t="s">
        <v>38</v>
      </c>
      <c r="H13" s="1">
        <v>6</v>
      </c>
      <c r="I13" s="1">
        <v>0.47499999999999998</v>
      </c>
      <c r="J13" s="53">
        <v>0.13900000000000001</v>
      </c>
      <c r="K13" s="12">
        <f>VLOOKUP(TRIM(A13 &amp; ""), 'planilha crua'!$A$2:$B$10000, 2, FALSE)</f>
        <v>45728</v>
      </c>
      <c r="L13" s="1">
        <f t="shared" si="0"/>
        <v>1</v>
      </c>
    </row>
    <row r="14" spans="1:12" x14ac:dyDescent="0.35">
      <c r="A14" s="1" t="s">
        <v>276</v>
      </c>
      <c r="B14" s="1">
        <v>2</v>
      </c>
      <c r="C14" s="1" t="s">
        <v>25</v>
      </c>
      <c r="D14" s="1" t="s">
        <v>26</v>
      </c>
      <c r="E14" s="1">
        <v>3</v>
      </c>
      <c r="F14" s="1">
        <v>86</v>
      </c>
      <c r="G14" s="1" t="s">
        <v>38</v>
      </c>
      <c r="H14" s="1">
        <v>6</v>
      </c>
      <c r="I14" s="1">
        <v>0.47499999999999998</v>
      </c>
      <c r="J14" s="53">
        <v>0.20799999999999999</v>
      </c>
      <c r="K14" s="12">
        <f>VLOOKUP(TRIM(A14 &amp; ""), 'planilha crua'!$A$2:$B$10000, 2, FALSE)</f>
        <v>45728</v>
      </c>
      <c r="L14" s="1">
        <f t="shared" si="0"/>
        <v>1</v>
      </c>
    </row>
    <row r="15" spans="1:12" x14ac:dyDescent="0.35">
      <c r="A15" s="1" t="s">
        <v>276</v>
      </c>
      <c r="B15" s="1">
        <v>2</v>
      </c>
      <c r="C15" s="1" t="s">
        <v>25</v>
      </c>
      <c r="D15" s="1" t="s">
        <v>26</v>
      </c>
      <c r="E15" s="1">
        <v>3</v>
      </c>
      <c r="F15" s="1">
        <v>86</v>
      </c>
      <c r="G15" s="1" t="s">
        <v>38</v>
      </c>
      <c r="H15" s="1">
        <v>6</v>
      </c>
      <c r="I15" s="1">
        <v>0.47499999999999998</v>
      </c>
      <c r="J15" s="53">
        <v>0.2</v>
      </c>
      <c r="K15" s="12">
        <f>VLOOKUP(TRIM(A15 &amp; ""), 'planilha crua'!$A$2:$B$10000, 2, FALSE)</f>
        <v>45728</v>
      </c>
      <c r="L15" s="1">
        <f t="shared" si="0"/>
        <v>1</v>
      </c>
    </row>
    <row r="16" spans="1:12" x14ac:dyDescent="0.35">
      <c r="A16" s="1" t="s">
        <v>276</v>
      </c>
      <c r="B16" s="1">
        <v>2</v>
      </c>
      <c r="C16" s="1" t="s">
        <v>25</v>
      </c>
      <c r="D16" s="1" t="s">
        <v>26</v>
      </c>
      <c r="E16" s="1">
        <v>3</v>
      </c>
      <c r="F16" s="1">
        <v>86</v>
      </c>
      <c r="G16" s="1" t="s">
        <v>38</v>
      </c>
      <c r="H16" s="1">
        <v>6</v>
      </c>
      <c r="I16" s="1">
        <v>0.47499999999999998</v>
      </c>
      <c r="J16" s="53">
        <v>0.17499999999999999</v>
      </c>
      <c r="K16" s="12">
        <f>VLOOKUP(TRIM(A16 &amp; ""), 'planilha crua'!$A$2:$B$10000, 2, FALSE)</f>
        <v>45728</v>
      </c>
      <c r="L16" s="1">
        <f t="shared" si="0"/>
        <v>1</v>
      </c>
    </row>
    <row r="17" spans="1:12" x14ac:dyDescent="0.35">
      <c r="A17" s="1" t="s">
        <v>276</v>
      </c>
      <c r="B17" s="1">
        <v>2</v>
      </c>
      <c r="C17" s="1" t="s">
        <v>25</v>
      </c>
      <c r="D17" s="1" t="s">
        <v>26</v>
      </c>
      <c r="E17" s="1">
        <v>3</v>
      </c>
      <c r="F17" s="1">
        <v>86</v>
      </c>
      <c r="G17" s="1" t="s">
        <v>38</v>
      </c>
      <c r="H17" s="1">
        <v>6</v>
      </c>
      <c r="I17" s="1">
        <v>0.47499999999999998</v>
      </c>
      <c r="J17" s="53">
        <v>0.16600000000000001</v>
      </c>
      <c r="K17" s="12">
        <f>VLOOKUP(TRIM(A17 &amp; ""), 'planilha crua'!$A$2:$B$10000, 2, FALSE)</f>
        <v>45728</v>
      </c>
      <c r="L17" s="1">
        <f t="shared" si="0"/>
        <v>1</v>
      </c>
    </row>
    <row r="18" spans="1:12" x14ac:dyDescent="0.35">
      <c r="A18" s="1" t="s">
        <v>276</v>
      </c>
      <c r="B18" s="1">
        <v>2</v>
      </c>
      <c r="C18" s="1" t="s">
        <v>25</v>
      </c>
      <c r="D18" s="1" t="s">
        <v>26</v>
      </c>
      <c r="E18" s="1">
        <v>3</v>
      </c>
      <c r="F18" s="1">
        <v>86</v>
      </c>
      <c r="G18" s="1" t="s">
        <v>38</v>
      </c>
      <c r="H18" s="1">
        <v>6</v>
      </c>
      <c r="I18" s="1">
        <v>0.47499999999999998</v>
      </c>
      <c r="J18" s="53">
        <v>0.191</v>
      </c>
      <c r="K18" s="12">
        <f>VLOOKUP(TRIM(A18 &amp; ""), 'planilha crua'!$A$2:$B$10000, 2, FALSE)</f>
        <v>45728</v>
      </c>
      <c r="L18" s="1">
        <f t="shared" si="0"/>
        <v>1</v>
      </c>
    </row>
    <row r="19" spans="1:12" x14ac:dyDescent="0.35">
      <c r="A19" s="1" t="s">
        <v>276</v>
      </c>
      <c r="B19" s="1">
        <v>2</v>
      </c>
      <c r="C19" s="1" t="s">
        <v>25</v>
      </c>
      <c r="D19" s="1" t="s">
        <v>26</v>
      </c>
      <c r="E19" s="1">
        <v>3</v>
      </c>
      <c r="F19" s="1">
        <v>86</v>
      </c>
      <c r="G19" s="1" t="s">
        <v>38</v>
      </c>
      <c r="H19" s="1">
        <v>6</v>
      </c>
      <c r="I19" s="1">
        <v>0.47499999999999998</v>
      </c>
      <c r="J19" s="53">
        <v>0.182</v>
      </c>
      <c r="K19" s="12">
        <f>VLOOKUP(TRIM(A19 &amp; ""), 'planilha crua'!$A$2:$B$10000, 2, FALSE)</f>
        <v>45728</v>
      </c>
      <c r="L19" s="1">
        <f t="shared" si="0"/>
        <v>1</v>
      </c>
    </row>
    <row r="20" spans="1:12" x14ac:dyDescent="0.35">
      <c r="A20" s="1" t="s">
        <v>276</v>
      </c>
      <c r="B20" s="1">
        <v>2</v>
      </c>
      <c r="C20" s="1" t="s">
        <v>25</v>
      </c>
      <c r="D20" s="1" t="s">
        <v>26</v>
      </c>
      <c r="E20" s="1">
        <v>3</v>
      </c>
      <c r="F20" s="1">
        <v>86</v>
      </c>
      <c r="G20" s="1" t="s">
        <v>38</v>
      </c>
      <c r="H20" s="1">
        <v>6</v>
      </c>
      <c r="I20" s="1">
        <v>0.47499999999999998</v>
      </c>
      <c r="J20" s="53">
        <v>0.192</v>
      </c>
      <c r="K20" s="12">
        <f>VLOOKUP(TRIM(A20 &amp; ""), 'planilha crua'!$A$2:$B$10000, 2, FALSE)</f>
        <v>45728</v>
      </c>
      <c r="L20" s="1">
        <f t="shared" si="0"/>
        <v>1</v>
      </c>
    </row>
    <row r="21" spans="1:12" x14ac:dyDescent="0.35">
      <c r="A21" s="1" t="s">
        <v>290</v>
      </c>
      <c r="B21" s="1">
        <v>2</v>
      </c>
      <c r="C21" s="1" t="s">
        <v>25</v>
      </c>
      <c r="D21" s="1" t="s">
        <v>26</v>
      </c>
      <c r="E21" s="1">
        <v>3</v>
      </c>
      <c r="F21" s="1">
        <v>88</v>
      </c>
      <c r="G21" s="1" t="s">
        <v>38</v>
      </c>
      <c r="H21" s="1">
        <v>7</v>
      </c>
      <c r="I21" s="1">
        <v>0.38400000000000001</v>
      </c>
      <c r="J21" s="53">
        <v>0.16600000000000001</v>
      </c>
      <c r="K21" s="12">
        <f>VLOOKUP(TRIM(A21 &amp; ""), 'planilha crua'!$A$2:$B$10000, 2, FALSE)</f>
        <v>45728</v>
      </c>
      <c r="L21" s="1">
        <f t="shared" si="0"/>
        <v>1</v>
      </c>
    </row>
    <row r="22" spans="1:12" x14ac:dyDescent="0.35">
      <c r="A22" s="1" t="s">
        <v>295</v>
      </c>
      <c r="B22" s="1">
        <v>2</v>
      </c>
      <c r="C22" s="1" t="s">
        <v>25</v>
      </c>
      <c r="D22" s="1" t="s">
        <v>26</v>
      </c>
      <c r="E22" s="1">
        <v>3</v>
      </c>
      <c r="F22" s="1">
        <v>90</v>
      </c>
      <c r="G22" s="1" t="s">
        <v>38</v>
      </c>
      <c r="H22" s="1">
        <v>7</v>
      </c>
      <c r="I22" s="1">
        <v>0.48299999999999998</v>
      </c>
      <c r="J22" s="53">
        <v>0.26700000000000002</v>
      </c>
      <c r="K22" s="12">
        <f>VLOOKUP(TRIM(A22 &amp; ""), 'planilha crua'!$A$2:$B$10000, 2, FALSE)</f>
        <v>45728</v>
      </c>
      <c r="L22" s="1">
        <f t="shared" si="0"/>
        <v>1</v>
      </c>
    </row>
    <row r="23" spans="1:12" x14ac:dyDescent="0.35">
      <c r="A23" s="1" t="s">
        <v>295</v>
      </c>
      <c r="B23" s="1">
        <v>2</v>
      </c>
      <c r="C23" s="1" t="s">
        <v>25</v>
      </c>
      <c r="D23" s="1" t="s">
        <v>26</v>
      </c>
      <c r="E23" s="1">
        <v>3</v>
      </c>
      <c r="F23" s="1">
        <v>90</v>
      </c>
      <c r="G23" s="1" t="s">
        <v>38</v>
      </c>
      <c r="H23" s="1">
        <v>7</v>
      </c>
      <c r="I23" s="1">
        <v>0.48299999999999998</v>
      </c>
      <c r="J23" s="53">
        <v>0.24199999999999999</v>
      </c>
      <c r="K23" s="12">
        <f>VLOOKUP(TRIM(A23 &amp; ""), 'planilha crua'!$A$2:$B$10000, 2, FALSE)</f>
        <v>45728</v>
      </c>
      <c r="L23" s="1">
        <f t="shared" si="0"/>
        <v>1</v>
      </c>
    </row>
    <row r="24" spans="1:12" x14ac:dyDescent="0.35">
      <c r="A24" s="1" t="s">
        <v>302</v>
      </c>
      <c r="B24" s="1">
        <v>2</v>
      </c>
      <c r="C24" s="1" t="s">
        <v>25</v>
      </c>
      <c r="D24" s="1" t="s">
        <v>26</v>
      </c>
      <c r="E24" s="1">
        <v>6</v>
      </c>
      <c r="F24" s="1">
        <v>92</v>
      </c>
      <c r="G24" s="1" t="s">
        <v>38</v>
      </c>
      <c r="H24" s="1">
        <v>8</v>
      </c>
      <c r="I24" s="1">
        <v>0.58399999999999996</v>
      </c>
      <c r="J24" s="53">
        <v>0.191</v>
      </c>
      <c r="K24" s="12">
        <f>VLOOKUP(TRIM(A24 &amp; ""), 'planilha crua'!$A$2:$B$10000, 2, FALSE)</f>
        <v>45728</v>
      </c>
      <c r="L24" s="1">
        <f t="shared" si="0"/>
        <v>1</v>
      </c>
    </row>
    <row r="25" spans="1:12" x14ac:dyDescent="0.35">
      <c r="A25" s="1" t="s">
        <v>312</v>
      </c>
      <c r="B25" s="1">
        <v>2</v>
      </c>
      <c r="C25" s="1" t="s">
        <v>25</v>
      </c>
      <c r="D25" s="1" t="s">
        <v>26</v>
      </c>
      <c r="E25" s="1">
        <v>6</v>
      </c>
      <c r="F25" s="1">
        <v>94</v>
      </c>
      <c r="G25" s="1" t="s">
        <v>38</v>
      </c>
      <c r="H25" s="1">
        <v>8</v>
      </c>
      <c r="I25" s="1">
        <v>0.502</v>
      </c>
      <c r="J25" s="53">
        <v>0.21299999999999999</v>
      </c>
      <c r="K25" s="12">
        <f>VLOOKUP(TRIM(A25 &amp; ""), 'planilha crua'!$A$2:$B$10000, 2, FALSE)</f>
        <v>45728</v>
      </c>
      <c r="L25" s="1">
        <f t="shared" si="0"/>
        <v>1</v>
      </c>
    </row>
    <row r="26" spans="1:12" x14ac:dyDescent="0.35">
      <c r="A26" s="1" t="s">
        <v>312</v>
      </c>
      <c r="B26" s="1">
        <v>2</v>
      </c>
      <c r="C26" s="1" t="s">
        <v>25</v>
      </c>
      <c r="D26" s="1" t="s">
        <v>26</v>
      </c>
      <c r="E26" s="1">
        <v>6</v>
      </c>
      <c r="F26" s="1">
        <v>94</v>
      </c>
      <c r="G26" s="1" t="s">
        <v>38</v>
      </c>
      <c r="H26" s="1">
        <v>8</v>
      </c>
      <c r="I26" s="1">
        <v>0.502</v>
      </c>
      <c r="J26" s="53">
        <v>0.22700000000000001</v>
      </c>
      <c r="K26" s="12">
        <f>VLOOKUP(TRIM(A26 &amp; ""), 'planilha crua'!$A$2:$B$10000, 2, FALSE)</f>
        <v>45728</v>
      </c>
      <c r="L26" s="1">
        <f t="shared" si="0"/>
        <v>1</v>
      </c>
    </row>
    <row r="27" spans="1:12" x14ac:dyDescent="0.35">
      <c r="A27" s="1" t="s">
        <v>312</v>
      </c>
      <c r="B27" s="1">
        <v>2</v>
      </c>
      <c r="C27" s="1" t="s">
        <v>25</v>
      </c>
      <c r="D27" s="1" t="s">
        <v>26</v>
      </c>
      <c r="E27" s="1">
        <v>6</v>
      </c>
      <c r="F27" s="1">
        <v>94</v>
      </c>
      <c r="G27" s="1" t="s">
        <v>38</v>
      </c>
      <c r="H27" s="1">
        <v>8</v>
      </c>
      <c r="I27" s="1">
        <v>0.502</v>
      </c>
      <c r="J27" s="53">
        <v>0.17100000000000001</v>
      </c>
      <c r="K27" s="12">
        <f>VLOOKUP(TRIM(A27 &amp; ""), 'planilha crua'!$A$2:$B$10000, 2, FALSE)</f>
        <v>45728</v>
      </c>
      <c r="L27" s="1">
        <f t="shared" si="0"/>
        <v>1</v>
      </c>
    </row>
    <row r="28" spans="1:12" x14ac:dyDescent="0.35">
      <c r="A28" s="1" t="s">
        <v>312</v>
      </c>
      <c r="B28" s="1">
        <v>2</v>
      </c>
      <c r="C28" s="1" t="s">
        <v>25</v>
      </c>
      <c r="D28" s="1" t="s">
        <v>26</v>
      </c>
      <c r="E28" s="1">
        <v>6</v>
      </c>
      <c r="F28" s="1">
        <v>94</v>
      </c>
      <c r="G28" s="1" t="s">
        <v>38</v>
      </c>
      <c r="H28" s="1">
        <v>8</v>
      </c>
      <c r="I28" s="1">
        <v>0.502</v>
      </c>
      <c r="J28" s="53">
        <v>0.16900000000000001</v>
      </c>
      <c r="K28" s="12">
        <f>VLOOKUP(TRIM(A28 &amp; ""), 'planilha crua'!$A$2:$B$10000, 2, FALSE)</f>
        <v>45728</v>
      </c>
      <c r="L28" s="1">
        <f t="shared" si="0"/>
        <v>1</v>
      </c>
    </row>
    <row r="29" spans="1:12" x14ac:dyDescent="0.35">
      <c r="A29" s="1" t="s">
        <v>325</v>
      </c>
      <c r="B29" s="1">
        <v>2</v>
      </c>
      <c r="C29" s="1" t="s">
        <v>25</v>
      </c>
      <c r="D29" s="1" t="s">
        <v>26</v>
      </c>
      <c r="E29" s="1">
        <v>1</v>
      </c>
      <c r="F29" s="1">
        <v>95</v>
      </c>
      <c r="G29" s="1" t="s">
        <v>38</v>
      </c>
      <c r="H29" s="1">
        <v>9</v>
      </c>
      <c r="I29" s="1">
        <v>0.57099999999999995</v>
      </c>
      <c r="J29" s="53">
        <v>0.14299999999999999</v>
      </c>
      <c r="K29" s="12">
        <f>VLOOKUP(TRIM(A29 &amp; ""), 'planilha crua'!$A$2:$B$10000, 2, FALSE)</f>
        <v>45741</v>
      </c>
      <c r="L29" s="1">
        <f t="shared" si="0"/>
        <v>1</v>
      </c>
    </row>
    <row r="30" spans="1:12" x14ac:dyDescent="0.35">
      <c r="A30" s="1" t="s">
        <v>325</v>
      </c>
      <c r="B30" s="1">
        <v>2</v>
      </c>
      <c r="C30" s="1" t="s">
        <v>25</v>
      </c>
      <c r="D30" s="1" t="s">
        <v>26</v>
      </c>
      <c r="E30" s="1">
        <v>1</v>
      </c>
      <c r="F30" s="1">
        <v>95</v>
      </c>
      <c r="G30" s="1" t="s">
        <v>38</v>
      </c>
      <c r="H30" s="1">
        <v>9</v>
      </c>
      <c r="I30" s="1">
        <v>0.57099999999999995</v>
      </c>
      <c r="J30" s="53">
        <v>0.17599999999999999</v>
      </c>
      <c r="K30" s="12">
        <f>VLOOKUP(TRIM(A30 &amp; ""), 'planilha crua'!$A$2:$B$10000, 2, FALSE)</f>
        <v>45741</v>
      </c>
      <c r="L30" s="1">
        <f t="shared" si="0"/>
        <v>1</v>
      </c>
    </row>
    <row r="31" spans="1:12" x14ac:dyDescent="0.35">
      <c r="A31" s="1" t="s">
        <v>329</v>
      </c>
      <c r="B31" s="1">
        <v>2</v>
      </c>
      <c r="C31" s="1" t="s">
        <v>25</v>
      </c>
      <c r="D31" s="1" t="s">
        <v>26</v>
      </c>
      <c r="E31" s="1">
        <v>1</v>
      </c>
      <c r="F31" s="1">
        <v>97</v>
      </c>
      <c r="G31" s="1" t="s">
        <v>38</v>
      </c>
      <c r="H31" s="1">
        <v>9</v>
      </c>
      <c r="I31" s="1">
        <v>0.34899999999999998</v>
      </c>
      <c r="J31" s="53">
        <v>0.184</v>
      </c>
      <c r="K31" s="12">
        <f>VLOOKUP(TRIM(A31 &amp; ""), 'planilha crua'!$A$2:$B$10000, 2, FALSE)</f>
        <v>45741</v>
      </c>
      <c r="L31" s="1">
        <f t="shared" si="0"/>
        <v>1</v>
      </c>
    </row>
    <row r="32" spans="1:12" x14ac:dyDescent="0.35">
      <c r="A32" s="1" t="s">
        <v>333</v>
      </c>
      <c r="B32" s="1">
        <v>2</v>
      </c>
      <c r="C32" s="1" t="s">
        <v>25</v>
      </c>
      <c r="D32" s="1" t="s">
        <v>26</v>
      </c>
      <c r="E32" s="1">
        <v>1</v>
      </c>
      <c r="F32" s="1">
        <v>98</v>
      </c>
      <c r="G32" s="1" t="s">
        <v>38</v>
      </c>
      <c r="H32" s="1">
        <v>9</v>
      </c>
      <c r="I32" s="1">
        <v>0.33300000000000002</v>
      </c>
      <c r="J32" s="53">
        <v>0.20599999999999999</v>
      </c>
      <c r="K32" s="12">
        <f>VLOOKUP(TRIM(A32 &amp; ""), 'planilha crua'!$A$2:$B$10000, 2, FALSE)</f>
        <v>45741</v>
      </c>
      <c r="L32" s="1">
        <f t="shared" si="0"/>
        <v>1</v>
      </c>
    </row>
    <row r="33" spans="1:12" x14ac:dyDescent="0.35">
      <c r="A33" s="1" t="s">
        <v>335</v>
      </c>
      <c r="B33" s="1">
        <v>2</v>
      </c>
      <c r="C33" s="1" t="s">
        <v>25</v>
      </c>
      <c r="D33" s="1" t="s">
        <v>26</v>
      </c>
      <c r="E33" s="1">
        <v>1</v>
      </c>
      <c r="F33" s="1">
        <v>99</v>
      </c>
      <c r="G33" s="1" t="s">
        <v>38</v>
      </c>
      <c r="H33" s="1">
        <v>9</v>
      </c>
      <c r="I33" s="1">
        <v>0.40100000000000002</v>
      </c>
      <c r="J33" s="53">
        <v>0.216</v>
      </c>
      <c r="K33" s="12">
        <f>VLOOKUP(TRIM(A33 &amp; ""), 'planilha crua'!$A$2:$B$10000, 2, FALSE)</f>
        <v>45741</v>
      </c>
      <c r="L33" s="1">
        <f t="shared" si="0"/>
        <v>1</v>
      </c>
    </row>
    <row r="34" spans="1:12" x14ac:dyDescent="0.35">
      <c r="A34" s="1" t="s">
        <v>335</v>
      </c>
      <c r="B34" s="1">
        <v>2</v>
      </c>
      <c r="C34" s="1" t="s">
        <v>25</v>
      </c>
      <c r="D34" s="1" t="s">
        <v>26</v>
      </c>
      <c r="E34" s="1">
        <v>1</v>
      </c>
      <c r="F34" s="1">
        <v>99</v>
      </c>
      <c r="G34" s="1" t="s">
        <v>38</v>
      </c>
      <c r="H34" s="1">
        <v>9</v>
      </c>
      <c r="I34" s="1">
        <v>0.40100000000000002</v>
      </c>
      <c r="J34" s="53">
        <v>0.19700000000000001</v>
      </c>
      <c r="K34" s="12">
        <f>VLOOKUP(TRIM(A34 &amp; ""), 'planilha crua'!$A$2:$B$10000, 2, FALSE)</f>
        <v>45741</v>
      </c>
      <c r="L34" s="1">
        <f t="shared" si="0"/>
        <v>1</v>
      </c>
    </row>
    <row r="35" spans="1:12" x14ac:dyDescent="0.35">
      <c r="A35" s="1" t="s">
        <v>339</v>
      </c>
      <c r="B35" s="1">
        <v>2</v>
      </c>
      <c r="C35" s="1" t="s">
        <v>25</v>
      </c>
      <c r="D35" s="1" t="s">
        <v>26</v>
      </c>
      <c r="E35" s="1">
        <v>1</v>
      </c>
      <c r="F35" s="1">
        <v>100</v>
      </c>
      <c r="G35" s="1" t="s">
        <v>38</v>
      </c>
      <c r="H35" s="1">
        <v>10</v>
      </c>
      <c r="I35" s="1">
        <v>0.51</v>
      </c>
      <c r="J35" s="53">
        <v>0.18</v>
      </c>
      <c r="K35" s="12">
        <f>VLOOKUP(TRIM(A35 &amp; ""), 'planilha crua'!$A$2:$B$10000, 2, FALSE)</f>
        <v>45741</v>
      </c>
      <c r="L35" s="1">
        <f t="shared" si="0"/>
        <v>1</v>
      </c>
    </row>
    <row r="36" spans="1:12" x14ac:dyDescent="0.35">
      <c r="A36" s="1" t="s">
        <v>346</v>
      </c>
      <c r="B36" s="1">
        <v>2</v>
      </c>
      <c r="C36" s="1" t="s">
        <v>25</v>
      </c>
      <c r="D36" s="1" t="s">
        <v>26</v>
      </c>
      <c r="E36" s="1">
        <v>1</v>
      </c>
      <c r="F36" s="1">
        <v>102</v>
      </c>
      <c r="G36" s="1" t="s">
        <v>38</v>
      </c>
      <c r="H36" s="1">
        <v>10</v>
      </c>
      <c r="I36" s="1">
        <v>0.50800000000000001</v>
      </c>
      <c r="J36" s="53">
        <v>0.17899999999999999</v>
      </c>
      <c r="K36" s="12">
        <f>VLOOKUP(TRIM(A36 &amp; ""), 'planilha crua'!$A$2:$B$10000, 2, FALSE)</f>
        <v>45741</v>
      </c>
      <c r="L36" s="1">
        <f t="shared" si="0"/>
        <v>1</v>
      </c>
    </row>
    <row r="37" spans="1:12" x14ac:dyDescent="0.35">
      <c r="A37" s="1" t="s">
        <v>348</v>
      </c>
      <c r="B37" s="1">
        <v>2</v>
      </c>
      <c r="C37" s="1" t="s">
        <v>25</v>
      </c>
      <c r="D37" s="1" t="s">
        <v>26</v>
      </c>
      <c r="E37" s="1">
        <v>1</v>
      </c>
      <c r="F37" s="1">
        <v>103</v>
      </c>
      <c r="G37" s="1" t="s">
        <v>38</v>
      </c>
      <c r="H37" s="1">
        <v>10</v>
      </c>
      <c r="I37" s="1">
        <v>0.39700000000000002</v>
      </c>
      <c r="J37" s="53">
        <v>0.19700000000000001</v>
      </c>
      <c r="K37" s="12">
        <f>VLOOKUP(TRIM(A37 &amp; ""), 'planilha crua'!$A$2:$B$10000, 2, FALSE)</f>
        <v>45741</v>
      </c>
      <c r="L37" s="1">
        <f t="shared" si="0"/>
        <v>1</v>
      </c>
    </row>
    <row r="38" spans="1:12" x14ac:dyDescent="0.35">
      <c r="A38" s="1" t="s">
        <v>351</v>
      </c>
      <c r="B38" s="1">
        <v>2</v>
      </c>
      <c r="C38" s="1" t="s">
        <v>25</v>
      </c>
      <c r="D38" s="1" t="s">
        <v>26</v>
      </c>
      <c r="E38" s="1">
        <v>1</v>
      </c>
      <c r="F38" s="1">
        <v>104</v>
      </c>
      <c r="G38" s="1" t="s">
        <v>38</v>
      </c>
      <c r="H38" s="1">
        <v>11</v>
      </c>
      <c r="I38" s="1">
        <v>0.437</v>
      </c>
      <c r="J38" s="53">
        <v>0.161</v>
      </c>
      <c r="K38" s="12">
        <f>VLOOKUP(TRIM(A38 &amp; ""), 'planilha crua'!$A$2:$B$10000, 2, FALSE)</f>
        <v>45741</v>
      </c>
      <c r="L38" s="1">
        <f t="shared" si="0"/>
        <v>1</v>
      </c>
    </row>
    <row r="39" spans="1:12" x14ac:dyDescent="0.35">
      <c r="A39" s="1" t="s">
        <v>356</v>
      </c>
      <c r="B39" s="1">
        <v>2</v>
      </c>
      <c r="C39" s="1" t="s">
        <v>25</v>
      </c>
      <c r="D39" s="1" t="s">
        <v>26</v>
      </c>
      <c r="E39" s="1">
        <v>1</v>
      </c>
      <c r="F39" s="1">
        <v>106</v>
      </c>
      <c r="G39" s="1" t="s">
        <v>38</v>
      </c>
      <c r="H39" s="1">
        <v>11</v>
      </c>
      <c r="I39" s="1">
        <v>0.51600000000000001</v>
      </c>
      <c r="J39" s="53">
        <v>0.128</v>
      </c>
      <c r="K39" s="12">
        <f>VLOOKUP(TRIM(A39 &amp; ""), 'planilha crua'!$A$2:$B$10000, 2, FALSE)</f>
        <v>45741</v>
      </c>
      <c r="L39" s="1">
        <f t="shared" si="0"/>
        <v>1</v>
      </c>
    </row>
    <row r="40" spans="1:12" x14ac:dyDescent="0.35">
      <c r="A40" s="1" t="s">
        <v>359</v>
      </c>
      <c r="B40" s="1">
        <v>2</v>
      </c>
      <c r="C40" s="1" t="s">
        <v>25</v>
      </c>
      <c r="D40" s="1" t="s">
        <v>26</v>
      </c>
      <c r="E40" s="1">
        <v>1</v>
      </c>
      <c r="F40" s="1">
        <v>107</v>
      </c>
      <c r="G40" s="1" t="s">
        <v>38</v>
      </c>
      <c r="H40" s="1">
        <v>11</v>
      </c>
      <c r="I40" s="1">
        <v>0.45500000000000002</v>
      </c>
      <c r="J40" s="53">
        <v>0.16400000000000001</v>
      </c>
      <c r="K40" s="12">
        <f>VLOOKUP(TRIM(A40 &amp; ""), 'planilha crua'!$A$2:$B$10000, 2, FALSE)</f>
        <v>45741</v>
      </c>
      <c r="L40" s="1">
        <f t="shared" si="0"/>
        <v>1</v>
      </c>
    </row>
    <row r="41" spans="1:12" x14ac:dyDescent="0.35">
      <c r="A41" s="1" t="s">
        <v>438</v>
      </c>
      <c r="B41" s="1">
        <v>2</v>
      </c>
      <c r="C41" s="1" t="s">
        <v>25</v>
      </c>
      <c r="D41" s="1" t="s">
        <v>26</v>
      </c>
      <c r="E41" s="1">
        <v>5</v>
      </c>
      <c r="F41" s="1">
        <v>134</v>
      </c>
      <c r="G41" s="1" t="s">
        <v>38</v>
      </c>
      <c r="H41" s="1">
        <v>12</v>
      </c>
      <c r="I41" s="1">
        <v>0.53300000000000003</v>
      </c>
      <c r="J41" s="53">
        <v>0.17499999999999999</v>
      </c>
      <c r="K41" s="12">
        <f>VLOOKUP(TRIM(A41 &amp; ""), 'planilha crua'!$A$2:$B$10000, 2, FALSE)</f>
        <v>45775</v>
      </c>
      <c r="L41" s="1">
        <f t="shared" si="0"/>
        <v>4</v>
      </c>
    </row>
    <row r="42" spans="1:12" x14ac:dyDescent="0.35">
      <c r="A42" s="1" t="s">
        <v>441</v>
      </c>
      <c r="B42" s="1">
        <v>2</v>
      </c>
      <c r="C42" s="1" t="s">
        <v>25</v>
      </c>
      <c r="D42" s="1" t="s">
        <v>26</v>
      </c>
      <c r="E42" s="1">
        <v>5</v>
      </c>
      <c r="F42" s="1">
        <v>135</v>
      </c>
      <c r="G42" s="1" t="s">
        <v>38</v>
      </c>
      <c r="H42" s="1">
        <v>12</v>
      </c>
      <c r="I42" s="1">
        <v>0.505</v>
      </c>
      <c r="J42" s="53">
        <v>0.21</v>
      </c>
      <c r="K42" s="12">
        <f>VLOOKUP(TRIM(A42 &amp; ""), 'planilha crua'!$A$2:$B$10000, 2, FALSE)</f>
        <v>45775</v>
      </c>
      <c r="L42" s="1">
        <f t="shared" si="0"/>
        <v>4</v>
      </c>
    </row>
    <row r="43" spans="1:12" x14ac:dyDescent="0.35">
      <c r="A43" s="1" t="s">
        <v>23</v>
      </c>
      <c r="B43" s="6">
        <v>1</v>
      </c>
      <c r="C43" s="1" t="s">
        <v>25</v>
      </c>
      <c r="D43" s="1" t="s">
        <v>26</v>
      </c>
      <c r="E43" s="1">
        <v>1</v>
      </c>
      <c r="F43" s="1">
        <v>1</v>
      </c>
      <c r="G43" s="1" t="s">
        <v>27</v>
      </c>
      <c r="H43" s="1">
        <v>13</v>
      </c>
      <c r="I43" s="1">
        <v>0.59299999999999997</v>
      </c>
      <c r="J43" s="53">
        <v>0.14499999999999999</v>
      </c>
      <c r="K43" s="12">
        <f>VLOOKUP(TRIM(A43 &amp; ""), 'planilha crua'!$A$2:$B$10000, 2, FALSE)</f>
        <v>45401</v>
      </c>
      <c r="L43" s="1">
        <f t="shared" si="0"/>
        <v>3</v>
      </c>
    </row>
    <row r="44" spans="1:12" x14ac:dyDescent="0.35">
      <c r="A44" s="1" t="s">
        <v>62</v>
      </c>
      <c r="B44" s="6">
        <v>1</v>
      </c>
      <c r="C44" s="1" t="s">
        <v>25</v>
      </c>
      <c r="D44" s="1" t="s">
        <v>26</v>
      </c>
      <c r="E44" s="1">
        <v>1</v>
      </c>
      <c r="F44" s="1">
        <v>10</v>
      </c>
      <c r="G44" s="1" t="s">
        <v>27</v>
      </c>
      <c r="H44" s="1">
        <v>14</v>
      </c>
      <c r="I44" s="1">
        <v>0.54500000000000004</v>
      </c>
      <c r="J44" s="53">
        <v>0.186</v>
      </c>
      <c r="K44" s="12">
        <f>VLOOKUP(TRIM(A44 &amp; ""), 'planilha crua'!$A$2:$B$10000, 2, FALSE)</f>
        <v>45401</v>
      </c>
      <c r="L44" s="1">
        <f t="shared" si="0"/>
        <v>3</v>
      </c>
    </row>
    <row r="45" spans="1:12" x14ac:dyDescent="0.35">
      <c r="A45" s="1" t="s">
        <v>66</v>
      </c>
      <c r="B45" s="6">
        <v>1</v>
      </c>
      <c r="C45" s="1" t="s">
        <v>25</v>
      </c>
      <c r="D45" s="1" t="s">
        <v>26</v>
      </c>
      <c r="E45" s="1">
        <v>1</v>
      </c>
      <c r="F45" s="1">
        <v>11</v>
      </c>
      <c r="G45" s="1" t="s">
        <v>27</v>
      </c>
      <c r="H45" s="1">
        <v>15</v>
      </c>
      <c r="I45" s="1">
        <v>0.60699999999999998</v>
      </c>
      <c r="J45" s="53">
        <v>0.23400000000000001</v>
      </c>
      <c r="K45" s="12">
        <f>VLOOKUP(TRIM(A45 &amp; ""), 'planilha crua'!$A$2:$B$10000, 2, FALSE)</f>
        <v>45401</v>
      </c>
      <c r="L45" s="1">
        <f t="shared" si="0"/>
        <v>3</v>
      </c>
    </row>
    <row r="46" spans="1:12" x14ac:dyDescent="0.35">
      <c r="A46" s="1" t="s">
        <v>70</v>
      </c>
      <c r="B46" s="6">
        <v>1</v>
      </c>
      <c r="C46" s="1" t="s">
        <v>25</v>
      </c>
      <c r="D46" s="1" t="s">
        <v>26</v>
      </c>
      <c r="E46" s="1">
        <v>1</v>
      </c>
      <c r="F46" s="1">
        <v>12</v>
      </c>
      <c r="G46" s="1" t="s">
        <v>27</v>
      </c>
      <c r="H46" s="1">
        <v>16</v>
      </c>
      <c r="I46" s="1">
        <v>0.57899999999999996</v>
      </c>
      <c r="J46" s="53">
        <v>0.18099999999999999</v>
      </c>
      <c r="K46" s="12">
        <f>VLOOKUP(TRIM(A46 &amp; ""), 'planilha crua'!$A$2:$B$10000, 2, FALSE)</f>
        <v>45401</v>
      </c>
      <c r="L46" s="1">
        <f t="shared" si="0"/>
        <v>3</v>
      </c>
    </row>
    <row r="47" spans="1:12" x14ac:dyDescent="0.35">
      <c r="A47" s="1" t="s">
        <v>74</v>
      </c>
      <c r="B47" s="6">
        <v>1</v>
      </c>
      <c r="C47" s="1" t="s">
        <v>25</v>
      </c>
      <c r="D47" s="1" t="s">
        <v>26</v>
      </c>
      <c r="E47" s="1">
        <v>1</v>
      </c>
      <c r="F47" s="1">
        <v>13</v>
      </c>
      <c r="G47" s="1" t="s">
        <v>27</v>
      </c>
      <c r="H47" s="1">
        <v>17</v>
      </c>
      <c r="I47" s="1">
        <v>0.58699999999999997</v>
      </c>
      <c r="J47" s="53">
        <v>0.19400000000000001</v>
      </c>
      <c r="K47" s="12">
        <f>VLOOKUP(TRIM(A47 &amp; ""), 'planilha crua'!$A$2:$B$10000, 2, FALSE)</f>
        <v>45401</v>
      </c>
      <c r="L47" s="1">
        <f t="shared" si="0"/>
        <v>3</v>
      </c>
    </row>
    <row r="48" spans="1:12" x14ac:dyDescent="0.35">
      <c r="A48" s="1" t="s">
        <v>77</v>
      </c>
      <c r="B48" s="6">
        <v>1</v>
      </c>
      <c r="C48" s="1" t="s">
        <v>25</v>
      </c>
      <c r="D48" s="1" t="s">
        <v>26</v>
      </c>
      <c r="E48" s="1">
        <v>2</v>
      </c>
      <c r="F48" s="1">
        <v>14</v>
      </c>
      <c r="G48" s="1" t="s">
        <v>27</v>
      </c>
      <c r="H48" s="1">
        <v>18</v>
      </c>
      <c r="I48" s="1">
        <v>0.52600000000000002</v>
      </c>
      <c r="J48" s="53">
        <v>0.183</v>
      </c>
      <c r="K48" s="12">
        <f>VLOOKUP(TRIM(A48 &amp; ""), 'planilha crua'!$A$2:$B$10000, 2, FALSE)</f>
        <v>45401</v>
      </c>
      <c r="L48" s="1">
        <f t="shared" si="0"/>
        <v>3</v>
      </c>
    </row>
    <row r="49" spans="1:12" x14ac:dyDescent="0.35">
      <c r="A49" s="1" t="s">
        <v>175</v>
      </c>
      <c r="B49" s="6">
        <v>1</v>
      </c>
      <c r="C49" s="1" t="s">
        <v>25</v>
      </c>
      <c r="D49" s="1" t="s">
        <v>26</v>
      </c>
      <c r="E49" s="1">
        <v>4</v>
      </c>
      <c r="F49" s="1">
        <v>51</v>
      </c>
      <c r="G49" s="1" t="s">
        <v>27</v>
      </c>
      <c r="H49" s="1">
        <v>19</v>
      </c>
      <c r="I49" s="1">
        <v>0.45300000000000001</v>
      </c>
      <c r="J49" s="53">
        <v>0.22</v>
      </c>
      <c r="K49" s="12">
        <f>VLOOKUP(TRIM(A49 &amp; ""), 'planilha crua'!$A$2:$B$10000, 2, FALSE)</f>
        <v>45407</v>
      </c>
      <c r="L49" s="1">
        <f t="shared" si="0"/>
        <v>3</v>
      </c>
    </row>
    <row r="50" spans="1:12" x14ac:dyDescent="0.35">
      <c r="A50" s="1" t="s">
        <v>179</v>
      </c>
      <c r="B50" s="6">
        <v>1</v>
      </c>
      <c r="C50" s="1" t="s">
        <v>25</v>
      </c>
      <c r="D50" s="1" t="s">
        <v>26</v>
      </c>
      <c r="E50" s="1">
        <v>4</v>
      </c>
      <c r="F50" s="1">
        <v>52</v>
      </c>
      <c r="G50" s="1" t="s">
        <v>27</v>
      </c>
      <c r="H50" s="1">
        <v>20</v>
      </c>
      <c r="I50" s="1">
        <v>0.59899999999999998</v>
      </c>
      <c r="J50" s="53">
        <v>0.22500000000000001</v>
      </c>
      <c r="K50" s="12">
        <f>VLOOKUP(TRIM(A50 &amp; ""), 'planilha crua'!$A$2:$B$10000, 2, FALSE)</f>
        <v>45407</v>
      </c>
      <c r="L50" s="1">
        <f t="shared" si="0"/>
        <v>3</v>
      </c>
    </row>
    <row r="51" spans="1:12" x14ac:dyDescent="0.35">
      <c r="A51" s="1" t="s">
        <v>184</v>
      </c>
      <c r="B51" s="6">
        <v>1</v>
      </c>
      <c r="C51" s="1" t="s">
        <v>25</v>
      </c>
      <c r="D51" s="1" t="s">
        <v>26</v>
      </c>
      <c r="E51" s="1">
        <v>4</v>
      </c>
      <c r="F51" s="1">
        <v>54</v>
      </c>
      <c r="G51" s="1" t="s">
        <v>27</v>
      </c>
      <c r="H51" s="1">
        <v>21</v>
      </c>
      <c r="I51" s="1">
        <v>0.51900000000000002</v>
      </c>
      <c r="J51" s="53">
        <v>0.18</v>
      </c>
      <c r="K51" s="12">
        <f>VLOOKUP(TRIM(A51 &amp; ""), 'planilha crua'!$A$2:$B$10000, 2, FALSE)</f>
        <v>45407</v>
      </c>
      <c r="L51" s="1">
        <f t="shared" si="0"/>
        <v>3</v>
      </c>
    </row>
    <row r="52" spans="1:12" x14ac:dyDescent="0.35">
      <c r="A52" s="1" t="s">
        <v>187</v>
      </c>
      <c r="B52" s="6">
        <v>1</v>
      </c>
      <c r="C52" s="1" t="s">
        <v>25</v>
      </c>
      <c r="D52" s="1" t="s">
        <v>26</v>
      </c>
      <c r="E52" s="1">
        <v>3</v>
      </c>
      <c r="F52" s="1">
        <v>55</v>
      </c>
      <c r="G52" s="1" t="s">
        <v>27</v>
      </c>
      <c r="H52" s="1">
        <v>22</v>
      </c>
      <c r="I52" s="1">
        <v>0.56200000000000006</v>
      </c>
      <c r="J52" s="53">
        <v>0.154</v>
      </c>
      <c r="K52" s="12">
        <f>VLOOKUP(TRIM(A52 &amp; ""), 'planilha crua'!$A$2:$B$10000, 2, FALSE)</f>
        <v>45407</v>
      </c>
      <c r="L52" s="1">
        <f t="shared" si="0"/>
        <v>3</v>
      </c>
    </row>
    <row r="53" spans="1:12" x14ac:dyDescent="0.35">
      <c r="A53" s="1" t="s">
        <v>191</v>
      </c>
      <c r="B53" s="6">
        <v>1</v>
      </c>
      <c r="C53" s="1" t="s">
        <v>25</v>
      </c>
      <c r="D53" s="1" t="s">
        <v>26</v>
      </c>
      <c r="E53" s="1">
        <v>3</v>
      </c>
      <c r="F53" s="1">
        <v>56</v>
      </c>
      <c r="G53" s="1" t="s">
        <v>27</v>
      </c>
      <c r="H53" s="1">
        <v>23</v>
      </c>
      <c r="I53" s="1">
        <v>0.56100000000000005</v>
      </c>
      <c r="J53" s="53">
        <v>0.251</v>
      </c>
      <c r="K53" s="12">
        <f>VLOOKUP(TRIM(A53 &amp; ""), 'planilha crua'!$A$2:$B$10000, 2, FALSE)</f>
        <v>45407</v>
      </c>
      <c r="L53" s="1">
        <f t="shared" si="0"/>
        <v>3</v>
      </c>
    </row>
    <row r="54" spans="1:12" x14ac:dyDescent="0.35">
      <c r="A54" s="1" t="s">
        <v>194</v>
      </c>
      <c r="B54" s="6">
        <v>1</v>
      </c>
      <c r="C54" s="1" t="s">
        <v>25</v>
      </c>
      <c r="D54" s="1" t="s">
        <v>26</v>
      </c>
      <c r="E54" s="1">
        <v>3</v>
      </c>
      <c r="F54" s="1">
        <v>57</v>
      </c>
      <c r="G54" s="1" t="s">
        <v>27</v>
      </c>
      <c r="H54" s="1">
        <v>24</v>
      </c>
      <c r="I54" s="1">
        <v>0.48199999999999998</v>
      </c>
      <c r="J54" s="53">
        <v>0.21199999999999999</v>
      </c>
      <c r="K54" s="12">
        <f>VLOOKUP(TRIM(A54 &amp; ""), 'planilha crua'!$A$2:$B$10000, 2, FALSE)</f>
        <v>45407</v>
      </c>
      <c r="L54" s="1">
        <f t="shared" si="0"/>
        <v>3</v>
      </c>
    </row>
    <row r="55" spans="1:12" x14ac:dyDescent="0.35">
      <c r="A55" s="1" t="s">
        <v>199</v>
      </c>
      <c r="B55" s="6">
        <v>1</v>
      </c>
      <c r="C55" s="1" t="s">
        <v>25</v>
      </c>
      <c r="D55" s="1" t="s">
        <v>26</v>
      </c>
      <c r="E55" s="1">
        <v>3</v>
      </c>
      <c r="F55" s="1">
        <v>58</v>
      </c>
      <c r="G55" s="1" t="s">
        <v>27</v>
      </c>
      <c r="H55" s="1">
        <v>25</v>
      </c>
      <c r="I55" s="1">
        <v>0.52600000000000002</v>
      </c>
      <c r="J55" s="53">
        <v>0.183</v>
      </c>
      <c r="K55" s="12">
        <f>VLOOKUP(TRIM(A55 &amp; ""), 'planilha crua'!$A$2:$B$10000, 2, FALSE)</f>
        <v>45407</v>
      </c>
      <c r="L55" s="1">
        <f t="shared" si="0"/>
        <v>3</v>
      </c>
    </row>
    <row r="56" spans="1:12" x14ac:dyDescent="0.35">
      <c r="A56" s="1" t="s">
        <v>248</v>
      </c>
      <c r="B56" s="1">
        <v>2</v>
      </c>
      <c r="C56" s="1" t="s">
        <v>25</v>
      </c>
      <c r="D56" s="1" t="s">
        <v>26</v>
      </c>
      <c r="E56" s="1">
        <v>1</v>
      </c>
      <c r="F56" s="1">
        <v>77</v>
      </c>
      <c r="G56" s="1" t="s">
        <v>27</v>
      </c>
      <c r="H56" s="1">
        <v>26</v>
      </c>
      <c r="I56" s="1">
        <v>0.45</v>
      </c>
      <c r="J56" s="53">
        <v>0.193</v>
      </c>
      <c r="K56" s="12">
        <f>VLOOKUP(TRIM(A56 &amp; ""), 'planilha crua'!$A$2:$B$10000, 2, FALSE)</f>
        <v>45728</v>
      </c>
      <c r="L56" s="1">
        <f t="shared" si="0"/>
        <v>1</v>
      </c>
    </row>
    <row r="57" spans="1:12" x14ac:dyDescent="0.35">
      <c r="A57" s="1" t="s">
        <v>248</v>
      </c>
      <c r="B57" s="1">
        <v>2</v>
      </c>
      <c r="C57" s="1" t="s">
        <v>25</v>
      </c>
      <c r="D57" s="1" t="s">
        <v>26</v>
      </c>
      <c r="E57" s="1">
        <v>1</v>
      </c>
      <c r="F57" s="1">
        <v>77</v>
      </c>
      <c r="G57" s="1" t="s">
        <v>27</v>
      </c>
      <c r="H57" s="1">
        <v>27</v>
      </c>
      <c r="I57" s="1">
        <v>0.45</v>
      </c>
      <c r="J57" s="53">
        <v>0.182</v>
      </c>
      <c r="K57" s="12">
        <f>VLOOKUP(TRIM(A57 &amp; ""), 'planilha crua'!$A$2:$B$10000, 2, FALSE)</f>
        <v>45728</v>
      </c>
      <c r="L57" s="1">
        <f t="shared" si="0"/>
        <v>1</v>
      </c>
    </row>
    <row r="58" spans="1:12" x14ac:dyDescent="0.35">
      <c r="A58" s="1" t="s">
        <v>250</v>
      </c>
      <c r="B58" s="1">
        <v>2</v>
      </c>
      <c r="C58" s="1" t="s">
        <v>25</v>
      </c>
      <c r="D58" s="1" t="s">
        <v>26</v>
      </c>
      <c r="E58" s="1">
        <v>1</v>
      </c>
      <c r="F58" s="1">
        <v>78</v>
      </c>
      <c r="G58" s="1" t="s">
        <v>27</v>
      </c>
      <c r="H58" s="1">
        <v>28</v>
      </c>
      <c r="I58" s="1">
        <v>0.442</v>
      </c>
      <c r="J58" s="53">
        <v>0.19</v>
      </c>
      <c r="K58" s="12">
        <f>VLOOKUP(TRIM(A58 &amp; ""), 'planilha crua'!$A$2:$B$10000, 2, FALSE)</f>
        <v>45728</v>
      </c>
      <c r="L58" s="1">
        <f t="shared" si="0"/>
        <v>1</v>
      </c>
    </row>
    <row r="59" spans="1:12" x14ac:dyDescent="0.35">
      <c r="A59" s="1" t="s">
        <v>253</v>
      </c>
      <c r="B59" s="1">
        <v>2</v>
      </c>
      <c r="C59" s="1" t="s">
        <v>25</v>
      </c>
      <c r="D59" s="1" t="s">
        <v>26</v>
      </c>
      <c r="E59" s="1">
        <v>1</v>
      </c>
      <c r="F59" s="1">
        <v>79</v>
      </c>
      <c r="G59" s="1" t="s">
        <v>27</v>
      </c>
      <c r="H59" s="1">
        <v>29</v>
      </c>
      <c r="I59" s="1">
        <v>0.44500000000000001</v>
      </c>
      <c r="J59" s="53">
        <v>0.17799999999999999</v>
      </c>
      <c r="K59" s="12">
        <f>VLOOKUP(TRIM(A59 &amp; ""), 'planilha crua'!$A$2:$B$10000, 2, FALSE)</f>
        <v>45728</v>
      </c>
      <c r="L59" s="1">
        <f t="shared" si="0"/>
        <v>1</v>
      </c>
    </row>
    <row r="60" spans="1:12" x14ac:dyDescent="0.35">
      <c r="A60" s="1" t="s">
        <v>253</v>
      </c>
      <c r="B60" s="1">
        <v>2</v>
      </c>
      <c r="C60" s="1" t="s">
        <v>25</v>
      </c>
      <c r="D60" s="1" t="s">
        <v>26</v>
      </c>
      <c r="E60" s="1">
        <v>1</v>
      </c>
      <c r="F60" s="1">
        <v>79</v>
      </c>
      <c r="G60" s="1" t="s">
        <v>27</v>
      </c>
      <c r="H60" s="1">
        <v>30</v>
      </c>
      <c r="I60" s="1">
        <v>0.44500000000000001</v>
      </c>
      <c r="J60" s="53">
        <v>0.17199999999999999</v>
      </c>
      <c r="K60" s="12">
        <f>VLOOKUP(TRIM(A60 &amp; ""), 'planilha crua'!$A$2:$B$10000, 2, FALSE)</f>
        <v>45728</v>
      </c>
      <c r="L60" s="1">
        <f t="shared" si="0"/>
        <v>1</v>
      </c>
    </row>
    <row r="61" spans="1:12" x14ac:dyDescent="0.35">
      <c r="A61" s="1" t="s">
        <v>363</v>
      </c>
      <c r="B61" s="1">
        <v>2</v>
      </c>
      <c r="C61" s="1" t="s">
        <v>25</v>
      </c>
      <c r="D61" s="1" t="s">
        <v>26</v>
      </c>
      <c r="E61" s="1">
        <v>1</v>
      </c>
      <c r="F61" s="1">
        <v>109</v>
      </c>
      <c r="G61" s="1" t="s">
        <v>27</v>
      </c>
      <c r="H61" s="1">
        <v>31</v>
      </c>
      <c r="I61" s="1">
        <v>0.44700000000000001</v>
      </c>
      <c r="J61" s="53">
        <v>0.24099999999999999</v>
      </c>
      <c r="K61" s="12">
        <f>VLOOKUP(TRIM(A61 &amp; ""), 'planilha crua'!$A$2:$B$10000, 2, FALSE)</f>
        <v>45755</v>
      </c>
      <c r="L61" s="1">
        <f t="shared" si="0"/>
        <v>2</v>
      </c>
    </row>
    <row r="62" spans="1:12" x14ac:dyDescent="0.35">
      <c r="A62" s="1" t="s">
        <v>369</v>
      </c>
      <c r="B62" s="1">
        <v>2</v>
      </c>
      <c r="C62" s="1" t="s">
        <v>25</v>
      </c>
      <c r="D62" s="1" t="s">
        <v>26</v>
      </c>
      <c r="E62" s="1">
        <v>1</v>
      </c>
      <c r="F62" s="1">
        <v>111</v>
      </c>
      <c r="G62" s="1" t="s">
        <v>27</v>
      </c>
      <c r="H62" s="1">
        <v>32</v>
      </c>
      <c r="I62" s="1">
        <v>0.49099999999999999</v>
      </c>
      <c r="J62" s="53">
        <v>0.21099999999999999</v>
      </c>
      <c r="K62" s="12">
        <f>VLOOKUP(TRIM(A62 &amp; ""), 'planilha crua'!$A$2:$B$10000, 2, FALSE)</f>
        <v>45755</v>
      </c>
      <c r="L62" s="1">
        <f t="shared" si="0"/>
        <v>2</v>
      </c>
    </row>
    <row r="63" spans="1:12" x14ac:dyDescent="0.35">
      <c r="A63" s="1" t="s">
        <v>376</v>
      </c>
      <c r="B63" s="1">
        <v>2</v>
      </c>
      <c r="C63" s="1" t="s">
        <v>25</v>
      </c>
      <c r="D63" s="1" t="s">
        <v>26</v>
      </c>
      <c r="E63" s="1">
        <v>4</v>
      </c>
      <c r="F63" s="1">
        <v>113</v>
      </c>
      <c r="G63" s="1" t="s">
        <v>27</v>
      </c>
      <c r="H63" s="1">
        <v>33</v>
      </c>
      <c r="I63" s="1">
        <v>0.46500000000000002</v>
      </c>
      <c r="J63" s="53">
        <v>0.19700000000000001</v>
      </c>
      <c r="K63" s="12">
        <f>VLOOKUP(TRIM(A63 &amp; ""), 'planilha crua'!$A$2:$B$10000, 2, FALSE)</f>
        <v>45755</v>
      </c>
      <c r="L63" s="1">
        <f t="shared" si="0"/>
        <v>2</v>
      </c>
    </row>
    <row r="64" spans="1:12" x14ac:dyDescent="0.35">
      <c r="A64" s="1" t="s">
        <v>379</v>
      </c>
      <c r="B64" s="1">
        <v>2</v>
      </c>
      <c r="C64" s="1" t="s">
        <v>25</v>
      </c>
      <c r="D64" s="1" t="s">
        <v>26</v>
      </c>
      <c r="E64" s="1">
        <v>4</v>
      </c>
      <c r="F64" s="1">
        <v>114</v>
      </c>
      <c r="G64" s="1" t="s">
        <v>27</v>
      </c>
      <c r="H64" s="1">
        <v>34</v>
      </c>
      <c r="I64" s="1">
        <v>0.52500000000000002</v>
      </c>
      <c r="J64" s="53">
        <v>0.26800000000000002</v>
      </c>
      <c r="K64" s="12">
        <f>VLOOKUP(TRIM(A64 &amp; ""), 'planilha crua'!$A$2:$B$10000, 2, FALSE)</f>
        <v>45755</v>
      </c>
      <c r="L64" s="1">
        <f t="shared" si="0"/>
        <v>2</v>
      </c>
    </row>
    <row r="65" spans="1:12" x14ac:dyDescent="0.35">
      <c r="A65" s="1" t="s">
        <v>382</v>
      </c>
      <c r="B65" s="1">
        <v>2</v>
      </c>
      <c r="C65" s="1" t="s">
        <v>25</v>
      </c>
      <c r="D65" s="1" t="s">
        <v>26</v>
      </c>
      <c r="E65" s="1">
        <v>4</v>
      </c>
      <c r="F65" s="1">
        <v>115</v>
      </c>
      <c r="G65" s="1" t="s">
        <v>27</v>
      </c>
      <c r="H65" s="1">
        <v>35</v>
      </c>
      <c r="I65" s="1">
        <v>0.55900000000000005</v>
      </c>
      <c r="J65" s="53">
        <v>0.22600000000000001</v>
      </c>
      <c r="K65" s="12">
        <f>VLOOKUP(TRIM(A65 &amp; ""), 'planilha crua'!$A$2:$B$10000, 2, FALSE)</f>
        <v>45755</v>
      </c>
      <c r="L65" s="1">
        <f t="shared" si="0"/>
        <v>2</v>
      </c>
    </row>
    <row r="66" spans="1:12" x14ac:dyDescent="0.35">
      <c r="A66" s="1" t="s">
        <v>385</v>
      </c>
      <c r="B66" s="1">
        <v>2</v>
      </c>
      <c r="C66" s="1" t="s">
        <v>25</v>
      </c>
      <c r="D66" s="1" t="s">
        <v>26</v>
      </c>
      <c r="E66" s="1">
        <v>4</v>
      </c>
      <c r="F66" s="1">
        <v>116</v>
      </c>
      <c r="G66" s="1" t="s">
        <v>27</v>
      </c>
      <c r="H66" s="1">
        <v>36</v>
      </c>
      <c r="I66" s="1">
        <v>0.58899999999999997</v>
      </c>
      <c r="J66" s="53">
        <v>0.17299999999999999</v>
      </c>
      <c r="K66" s="12">
        <f>VLOOKUP(TRIM(A66 &amp; ""), 'planilha crua'!$A$2:$B$10000, 2, FALSE)</f>
        <v>45755</v>
      </c>
      <c r="L66" s="1">
        <f t="shared" si="0"/>
        <v>2</v>
      </c>
    </row>
    <row r="67" spans="1:12" x14ac:dyDescent="0.35">
      <c r="A67" s="1" t="s">
        <v>385</v>
      </c>
      <c r="B67" s="1">
        <v>2</v>
      </c>
      <c r="C67" s="1" t="s">
        <v>25</v>
      </c>
      <c r="D67" s="1" t="s">
        <v>26</v>
      </c>
      <c r="E67" s="1">
        <v>4</v>
      </c>
      <c r="F67" s="1">
        <v>116</v>
      </c>
      <c r="G67" s="1" t="s">
        <v>27</v>
      </c>
      <c r="H67" s="1">
        <v>37</v>
      </c>
      <c r="I67" s="1">
        <v>0.58899999999999997</v>
      </c>
      <c r="J67" s="53">
        <v>0.218</v>
      </c>
      <c r="K67" s="12">
        <f>VLOOKUP(TRIM(A67 &amp; ""), 'planilha crua'!$A$2:$B$10000, 2, FALSE)</f>
        <v>45755</v>
      </c>
      <c r="L67" s="1">
        <f t="shared" ref="L67:L82" si="1">INT((DATE(2000, MONTH(K67), DAY(K67)) - DATE(2000, 3, 12)) / 15) + 1</f>
        <v>2</v>
      </c>
    </row>
    <row r="68" spans="1:12" x14ac:dyDescent="0.35">
      <c r="A68" s="1" t="s">
        <v>394</v>
      </c>
      <c r="B68" s="1">
        <v>2</v>
      </c>
      <c r="C68" s="1" t="s">
        <v>25</v>
      </c>
      <c r="D68" s="1" t="s">
        <v>26</v>
      </c>
      <c r="E68" s="1">
        <v>2</v>
      </c>
      <c r="F68" s="1">
        <v>119</v>
      </c>
      <c r="G68" s="1" t="s">
        <v>27</v>
      </c>
      <c r="H68" s="1">
        <v>38</v>
      </c>
      <c r="I68" s="1">
        <v>0.48699999999999999</v>
      </c>
      <c r="J68" s="53">
        <v>0.17299999999999999</v>
      </c>
      <c r="K68" s="12">
        <f>VLOOKUP(TRIM(A68 &amp; ""), 'planilha crua'!$A$2:$B$10000, 2, FALSE)</f>
        <v>45756</v>
      </c>
      <c r="L68" s="1">
        <f t="shared" si="1"/>
        <v>2</v>
      </c>
    </row>
    <row r="69" spans="1:12" x14ac:dyDescent="0.35">
      <c r="A69" s="1" t="s">
        <v>397</v>
      </c>
      <c r="B69" s="1">
        <v>2</v>
      </c>
      <c r="C69" s="1" t="s">
        <v>25</v>
      </c>
      <c r="D69" s="1" t="s">
        <v>26</v>
      </c>
      <c r="E69" s="1">
        <v>2</v>
      </c>
      <c r="F69" s="1">
        <v>120</v>
      </c>
      <c r="G69" s="1" t="s">
        <v>27</v>
      </c>
      <c r="H69" s="1">
        <v>39</v>
      </c>
      <c r="I69" s="1">
        <v>0.42699999999999999</v>
      </c>
      <c r="J69" s="53">
        <v>0.189</v>
      </c>
      <c r="K69" s="12">
        <f>VLOOKUP(TRIM(A69 &amp; ""), 'planilha crua'!$A$2:$B$10000, 2, FALSE)</f>
        <v>45756</v>
      </c>
      <c r="L69" s="1">
        <f t="shared" si="1"/>
        <v>2</v>
      </c>
    </row>
    <row r="70" spans="1:12" x14ac:dyDescent="0.35">
      <c r="A70" s="1" t="s">
        <v>400</v>
      </c>
      <c r="B70" s="1">
        <v>2</v>
      </c>
      <c r="C70" s="1" t="s">
        <v>25</v>
      </c>
      <c r="D70" s="1" t="s">
        <v>26</v>
      </c>
      <c r="E70" s="1">
        <v>7</v>
      </c>
      <c r="F70" s="1">
        <v>121</v>
      </c>
      <c r="G70" s="1" t="s">
        <v>27</v>
      </c>
      <c r="H70" s="1">
        <v>40</v>
      </c>
      <c r="I70" s="1">
        <v>0.46</v>
      </c>
      <c r="J70" s="53">
        <v>0.22500000000000001</v>
      </c>
      <c r="K70" s="12">
        <f>VLOOKUP(TRIM(A70 &amp; ""), 'planilha crua'!$A$2:$B$10000, 2, FALSE)</f>
        <v>45756</v>
      </c>
      <c r="L70" s="1">
        <f t="shared" si="1"/>
        <v>2</v>
      </c>
    </row>
    <row r="71" spans="1:12" x14ac:dyDescent="0.35">
      <c r="A71" s="1" t="s">
        <v>403</v>
      </c>
      <c r="B71" s="1">
        <v>2</v>
      </c>
      <c r="C71" s="1" t="s">
        <v>25</v>
      </c>
      <c r="D71" s="1" t="s">
        <v>26</v>
      </c>
      <c r="E71" s="1">
        <v>7</v>
      </c>
      <c r="F71" s="1">
        <v>122</v>
      </c>
      <c r="G71" s="1" t="s">
        <v>27</v>
      </c>
      <c r="H71" s="1">
        <v>41</v>
      </c>
      <c r="I71" s="1">
        <v>0.53500000000000003</v>
      </c>
      <c r="J71" s="53">
        <v>0.19800000000000001</v>
      </c>
      <c r="K71" s="12">
        <f>VLOOKUP(TRIM(A71 &amp; ""), 'planilha crua'!$A$2:$B$10000, 2, FALSE)</f>
        <v>45756</v>
      </c>
      <c r="L71" s="1">
        <f t="shared" si="1"/>
        <v>2</v>
      </c>
    </row>
    <row r="72" spans="1:12" x14ac:dyDescent="0.35">
      <c r="A72" s="1" t="s">
        <v>403</v>
      </c>
      <c r="B72" s="1">
        <v>2</v>
      </c>
      <c r="C72" s="1" t="s">
        <v>25</v>
      </c>
      <c r="D72" s="1" t="s">
        <v>26</v>
      </c>
      <c r="E72" s="1">
        <v>7</v>
      </c>
      <c r="F72" s="1">
        <v>122</v>
      </c>
      <c r="G72" s="1" t="s">
        <v>27</v>
      </c>
      <c r="H72" s="1">
        <v>42</v>
      </c>
      <c r="I72" s="1">
        <v>0.53500000000000003</v>
      </c>
      <c r="J72" s="53">
        <v>0.14499999999999999</v>
      </c>
      <c r="K72" s="12">
        <f>VLOOKUP(TRIM(A72 &amp; ""), 'planilha crua'!$A$2:$B$10000, 2, FALSE)</f>
        <v>45756</v>
      </c>
      <c r="L72" s="1">
        <f t="shared" si="1"/>
        <v>2</v>
      </c>
    </row>
    <row r="73" spans="1:12" x14ac:dyDescent="0.35">
      <c r="A73" s="1" t="s">
        <v>407</v>
      </c>
      <c r="B73" s="1">
        <v>2</v>
      </c>
      <c r="C73" s="1" t="s">
        <v>25</v>
      </c>
      <c r="D73" s="1" t="s">
        <v>26</v>
      </c>
      <c r="E73" s="1">
        <v>6</v>
      </c>
      <c r="F73" s="1">
        <v>123</v>
      </c>
      <c r="G73" s="1" t="s">
        <v>27</v>
      </c>
      <c r="H73" s="1">
        <v>43</v>
      </c>
      <c r="I73" s="1">
        <v>0.55400000000000005</v>
      </c>
      <c r="J73" s="53">
        <v>0.20599999999999999</v>
      </c>
      <c r="K73" s="12">
        <f>VLOOKUP(TRIM(A73 &amp; ""), 'planilha crua'!$A$2:$B$10000, 2, FALSE)</f>
        <v>45756</v>
      </c>
      <c r="L73" s="1">
        <f t="shared" si="1"/>
        <v>2</v>
      </c>
    </row>
    <row r="74" spans="1:12" x14ac:dyDescent="0.35">
      <c r="A74" s="1" t="s">
        <v>410</v>
      </c>
      <c r="B74" s="1">
        <v>2</v>
      </c>
      <c r="C74" s="1" t="s">
        <v>25</v>
      </c>
      <c r="D74" s="1" t="s">
        <v>26</v>
      </c>
      <c r="E74" s="1">
        <v>3</v>
      </c>
      <c r="F74" s="1">
        <v>124</v>
      </c>
      <c r="G74" s="1" t="s">
        <v>27</v>
      </c>
      <c r="H74" s="1">
        <v>44</v>
      </c>
      <c r="I74" s="1">
        <v>0.48</v>
      </c>
      <c r="J74" s="53">
        <v>0.182</v>
      </c>
      <c r="K74" s="12">
        <f>VLOOKUP(TRIM(A74 &amp; ""), 'planilha crua'!$A$2:$B$10000, 2, FALSE)</f>
        <v>45756</v>
      </c>
      <c r="L74" s="1">
        <f t="shared" si="1"/>
        <v>2</v>
      </c>
    </row>
    <row r="75" spans="1:12" x14ac:dyDescent="0.35">
      <c r="A75" s="1" t="s">
        <v>413</v>
      </c>
      <c r="B75" s="1">
        <v>2</v>
      </c>
      <c r="C75" s="1" t="s">
        <v>25</v>
      </c>
      <c r="D75" s="1" t="s">
        <v>26</v>
      </c>
      <c r="E75" s="1">
        <v>3</v>
      </c>
      <c r="F75" s="1">
        <v>125</v>
      </c>
      <c r="G75" s="1" t="s">
        <v>27</v>
      </c>
      <c r="H75" s="1">
        <v>45</v>
      </c>
      <c r="I75" s="1">
        <v>0.49299999999999999</v>
      </c>
      <c r="J75" s="53">
        <v>0.221</v>
      </c>
      <c r="K75" s="12">
        <f>VLOOKUP(TRIM(A75 &amp; ""), 'planilha crua'!$A$2:$B$10000, 2, FALSE)</f>
        <v>45756</v>
      </c>
      <c r="L75" s="1">
        <f t="shared" si="1"/>
        <v>2</v>
      </c>
    </row>
    <row r="76" spans="1:12" x14ac:dyDescent="0.35">
      <c r="A76" s="1" t="s">
        <v>413</v>
      </c>
      <c r="B76" s="1">
        <v>2</v>
      </c>
      <c r="C76" s="1" t="s">
        <v>25</v>
      </c>
      <c r="D76" s="1" t="s">
        <v>26</v>
      </c>
      <c r="E76" s="1">
        <v>3</v>
      </c>
      <c r="F76" s="1">
        <v>125</v>
      </c>
      <c r="G76" s="1" t="s">
        <v>27</v>
      </c>
      <c r="H76" s="1">
        <v>46</v>
      </c>
      <c r="I76" s="1">
        <v>0.49299999999999999</v>
      </c>
      <c r="J76" s="53">
        <v>0.189</v>
      </c>
      <c r="K76" s="12">
        <f>VLOOKUP(TRIM(A76 &amp; ""), 'planilha crua'!$A$2:$B$10000, 2, FALSE)</f>
        <v>45756</v>
      </c>
      <c r="L76" s="1">
        <f t="shared" si="1"/>
        <v>2</v>
      </c>
    </row>
    <row r="77" spans="1:12" x14ac:dyDescent="0.35">
      <c r="A77" s="1" t="s">
        <v>416</v>
      </c>
      <c r="B77" s="1">
        <v>2</v>
      </c>
      <c r="C77" s="1" t="s">
        <v>25</v>
      </c>
      <c r="D77" s="1" t="s">
        <v>26</v>
      </c>
      <c r="E77" s="1">
        <v>3</v>
      </c>
      <c r="F77" s="1">
        <v>126</v>
      </c>
      <c r="G77" s="1" t="s">
        <v>27</v>
      </c>
      <c r="H77" s="1">
        <v>47</v>
      </c>
      <c r="I77" s="1">
        <v>0.47799999999999998</v>
      </c>
      <c r="J77" s="53">
        <v>0.158</v>
      </c>
      <c r="K77" s="12">
        <f>VLOOKUP(TRIM(A77 &amp; ""), 'planilha crua'!$A$2:$B$10000, 2, FALSE)</f>
        <v>45756</v>
      </c>
      <c r="L77" s="1">
        <f t="shared" si="1"/>
        <v>2</v>
      </c>
    </row>
    <row r="78" spans="1:12" x14ac:dyDescent="0.35">
      <c r="A78" s="1" t="s">
        <v>419</v>
      </c>
      <c r="B78" s="1">
        <v>2</v>
      </c>
      <c r="C78" s="1" t="s">
        <v>25</v>
      </c>
      <c r="D78" s="1" t="s">
        <v>26</v>
      </c>
      <c r="E78" s="1">
        <v>3</v>
      </c>
      <c r="F78" s="1">
        <v>127</v>
      </c>
      <c r="G78" s="1" t="s">
        <v>27</v>
      </c>
      <c r="H78" s="1">
        <v>48</v>
      </c>
      <c r="I78" s="1">
        <v>0.47899999999999998</v>
      </c>
      <c r="J78" s="53">
        <v>0.19700000000000001</v>
      </c>
      <c r="K78" s="12">
        <f>VLOOKUP(TRIM(A78 &amp; ""), 'planilha crua'!$A$2:$B$10000, 2, FALSE)</f>
        <v>45756</v>
      </c>
      <c r="L78" s="1">
        <f t="shared" si="1"/>
        <v>2</v>
      </c>
    </row>
    <row r="79" spans="1:12" x14ac:dyDescent="0.35">
      <c r="A79" s="1" t="s">
        <v>424</v>
      </c>
      <c r="B79" s="1">
        <v>2</v>
      </c>
      <c r="C79" s="1" t="s">
        <v>25</v>
      </c>
      <c r="D79" s="1" t="s">
        <v>26</v>
      </c>
      <c r="E79" s="1">
        <v>3</v>
      </c>
      <c r="F79" s="1">
        <v>129</v>
      </c>
      <c r="G79" s="1" t="s">
        <v>27</v>
      </c>
      <c r="H79" s="1">
        <v>49</v>
      </c>
      <c r="I79" s="1">
        <v>0.51300000000000001</v>
      </c>
      <c r="J79" s="53">
        <v>0.17499999999999999</v>
      </c>
      <c r="K79" s="12">
        <f>VLOOKUP(TRIM(A79 &amp; ""), 'planilha crua'!$A$2:$B$10000, 2, FALSE)</f>
        <v>45756</v>
      </c>
      <c r="L79" s="1">
        <f t="shared" si="1"/>
        <v>2</v>
      </c>
    </row>
    <row r="80" spans="1:12" x14ac:dyDescent="0.35">
      <c r="A80" s="1" t="s">
        <v>429</v>
      </c>
      <c r="B80" s="1">
        <v>2</v>
      </c>
      <c r="C80" s="1" t="s">
        <v>25</v>
      </c>
      <c r="D80" s="1" t="s">
        <v>26</v>
      </c>
      <c r="E80" s="1">
        <v>3</v>
      </c>
      <c r="F80" s="1">
        <v>131</v>
      </c>
      <c r="G80" s="1" t="s">
        <v>27</v>
      </c>
      <c r="H80" s="1">
        <v>50</v>
      </c>
      <c r="I80" s="1">
        <v>0.50800000000000001</v>
      </c>
      <c r="J80" s="53">
        <v>0.23</v>
      </c>
      <c r="K80" s="12">
        <f>VLOOKUP(TRIM(A80 &amp; ""), 'planilha crua'!$A$2:$B$10000, 2, FALSE)</f>
        <v>45756</v>
      </c>
      <c r="L80" s="1">
        <f t="shared" si="1"/>
        <v>2</v>
      </c>
    </row>
    <row r="81" spans="1:12" x14ac:dyDescent="0.35">
      <c r="A81" s="1" t="s">
        <v>432</v>
      </c>
      <c r="B81" s="1">
        <v>2</v>
      </c>
      <c r="C81" s="1" t="s">
        <v>25</v>
      </c>
      <c r="D81" s="1" t="s">
        <v>26</v>
      </c>
      <c r="E81" s="1">
        <v>3</v>
      </c>
      <c r="F81" s="1">
        <v>132</v>
      </c>
      <c r="G81" s="1" t="s">
        <v>27</v>
      </c>
      <c r="H81" s="1">
        <v>51</v>
      </c>
      <c r="I81" s="1">
        <v>0.47099999999999997</v>
      </c>
      <c r="J81" s="53">
        <v>0.17699999999999999</v>
      </c>
      <c r="K81" s="12">
        <f>VLOOKUP(TRIM(A81 &amp; ""), 'planilha crua'!$A$2:$B$10000, 2, FALSE)</f>
        <v>45756</v>
      </c>
      <c r="L81" s="1">
        <f t="shared" si="1"/>
        <v>2</v>
      </c>
    </row>
    <row r="82" spans="1:12" x14ac:dyDescent="0.35">
      <c r="A82" s="1" t="s">
        <v>435</v>
      </c>
      <c r="B82" s="1">
        <v>2</v>
      </c>
      <c r="C82" s="1" t="s">
        <v>25</v>
      </c>
      <c r="D82" s="1" t="s">
        <v>26</v>
      </c>
      <c r="E82" s="1">
        <v>1</v>
      </c>
      <c r="F82" s="1">
        <v>133</v>
      </c>
      <c r="G82" s="1" t="s">
        <v>27</v>
      </c>
      <c r="H82" s="1">
        <v>52</v>
      </c>
      <c r="I82" s="1">
        <v>0.47299999999999998</v>
      </c>
      <c r="J82" s="53">
        <v>0.224</v>
      </c>
      <c r="K82" s="12">
        <f>VLOOKUP(TRIM(A82 &amp; ""), 'planilha crua'!$A$2:$B$10000, 2, FALSE)</f>
        <v>45756</v>
      </c>
      <c r="L82" s="1">
        <f t="shared" si="1"/>
        <v>2</v>
      </c>
    </row>
  </sheetData>
  <sortState xmlns:xlrd2="http://schemas.microsoft.com/office/spreadsheetml/2017/richdata2" ref="A2:J82">
    <sortCondition ref="H2:H8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93C8-2EFE-4F39-960F-5CDFAD6F9761}">
  <dimension ref="A1:L60"/>
  <sheetViews>
    <sheetView tabSelected="1" workbookViewId="0">
      <selection activeCell="K1" sqref="K1:L1048576"/>
    </sheetView>
  </sheetViews>
  <sheetFormatPr defaultRowHeight="14.5" x14ac:dyDescent="0.35"/>
  <cols>
    <col min="7" max="7" width="15.36328125" customWidth="1"/>
    <col min="9" max="9" width="15.81640625" customWidth="1"/>
    <col min="11" max="12" width="8.7265625" style="1"/>
  </cols>
  <sheetData>
    <row r="1" spans="1:12" x14ac:dyDescent="0.35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4" t="s">
        <v>466</v>
      </c>
      <c r="K1" s="1" t="s">
        <v>1</v>
      </c>
      <c r="L1" s="1" t="s">
        <v>499</v>
      </c>
    </row>
    <row r="2" spans="1:12" x14ac:dyDescent="0.35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53">
        <v>0.17699999999999999</v>
      </c>
      <c r="K2" s="12">
        <f>VLOOKUP(TRIM(A2 &amp; ""), 'planilha crua'!$A$2:$B$10000, 2, FALSE)</f>
        <v>45401</v>
      </c>
      <c r="L2" s="1">
        <f>INT((DATE(2000, MONTH(K2), DAY(K2)) - DATE(2000, 3, 12)) / 15) + 1</f>
        <v>3</v>
      </c>
    </row>
    <row r="3" spans="1:12" x14ac:dyDescent="0.35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53">
        <v>0.26</v>
      </c>
      <c r="K3" s="12">
        <f>VLOOKUP(TRIM(A3 &amp; ""), 'planilha crua'!$A$2:$B$10000, 2, FALSE)</f>
        <v>45401</v>
      </c>
      <c r="L3" s="1">
        <f t="shared" ref="L3:L60" si="0">INT((DATE(2000, MONTH(K3), DAY(K3)) - DATE(2000, 3, 12)) / 15) + 1</f>
        <v>3</v>
      </c>
    </row>
    <row r="4" spans="1:12" x14ac:dyDescent="0.35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53">
        <v>0.14499999999999999</v>
      </c>
      <c r="K4" s="12">
        <f>VLOOKUP(TRIM(A4 &amp; ""), 'planilha crua'!$A$2:$B$10000, 2, FALSE)</f>
        <v>45401</v>
      </c>
      <c r="L4" s="1">
        <f t="shared" si="0"/>
        <v>3</v>
      </c>
    </row>
    <row r="5" spans="1:12" x14ac:dyDescent="0.35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53">
        <v>0.182</v>
      </c>
      <c r="K5" s="12">
        <f>VLOOKUP(TRIM(A5 &amp; ""), 'planilha crua'!$A$2:$B$10000, 2, FALSE)</f>
        <v>45404</v>
      </c>
      <c r="L5" s="1">
        <f t="shared" si="0"/>
        <v>3</v>
      </c>
    </row>
    <row r="6" spans="1:12" x14ac:dyDescent="0.35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53">
        <v>0.17100000000000001</v>
      </c>
      <c r="K6" s="12">
        <f>VLOOKUP(TRIM(A6 &amp; ""), 'planilha crua'!$A$2:$B$10000, 2, FALSE)</f>
        <v>45404</v>
      </c>
      <c r="L6" s="1">
        <f t="shared" si="0"/>
        <v>3</v>
      </c>
    </row>
    <row r="7" spans="1:12" x14ac:dyDescent="0.35">
      <c r="A7" s="1" t="s">
        <v>163</v>
      </c>
      <c r="B7" s="6">
        <v>1</v>
      </c>
      <c r="C7" s="1" t="s">
        <v>25</v>
      </c>
      <c r="D7" s="1" t="s">
        <v>26</v>
      </c>
      <c r="E7" s="1" t="s">
        <v>117</v>
      </c>
      <c r="F7" s="1">
        <v>46</v>
      </c>
      <c r="G7" s="1" t="s">
        <v>38</v>
      </c>
      <c r="H7" s="1">
        <v>4</v>
      </c>
      <c r="I7" s="1">
        <v>0.497</v>
      </c>
      <c r="J7" s="53">
        <v>0.16700000000000001</v>
      </c>
      <c r="K7" s="12">
        <f>VLOOKUP(TRIM(A7 &amp; ""), 'planilha crua'!$A$2:$B$10000, 2, FALSE)</f>
        <v>45404</v>
      </c>
      <c r="L7" s="1">
        <f t="shared" si="0"/>
        <v>3</v>
      </c>
    </row>
    <row r="8" spans="1:12" x14ac:dyDescent="0.35">
      <c r="A8" s="1" t="s">
        <v>209</v>
      </c>
      <c r="B8" s="6">
        <v>1</v>
      </c>
      <c r="C8" s="1" t="s">
        <v>25</v>
      </c>
      <c r="D8" s="1" t="s">
        <v>26</v>
      </c>
      <c r="E8" s="1">
        <v>5</v>
      </c>
      <c r="F8" s="1">
        <v>61</v>
      </c>
      <c r="G8" s="1" t="s">
        <v>38</v>
      </c>
      <c r="H8" s="1">
        <v>5</v>
      </c>
      <c r="I8" s="1">
        <v>0.52</v>
      </c>
      <c r="J8" s="53">
        <v>0.26500000000000001</v>
      </c>
      <c r="K8" s="12">
        <f>VLOOKUP(TRIM(A8 &amp; ""), 'planilha crua'!$A$2:$B$10000, 2, FALSE)</f>
        <v>45412</v>
      </c>
      <c r="L8" s="1">
        <f t="shared" si="0"/>
        <v>4</v>
      </c>
    </row>
    <row r="9" spans="1:12" x14ac:dyDescent="0.35">
      <c r="A9" s="1" t="s">
        <v>270</v>
      </c>
      <c r="B9" s="1">
        <v>2</v>
      </c>
      <c r="C9" s="1" t="s">
        <v>25</v>
      </c>
      <c r="D9" s="1" t="s">
        <v>26</v>
      </c>
      <c r="E9" s="1">
        <v>3</v>
      </c>
      <c r="F9" s="1">
        <v>84</v>
      </c>
      <c r="G9" s="1" t="s">
        <v>38</v>
      </c>
      <c r="H9" s="1">
        <v>6</v>
      </c>
      <c r="I9" s="1">
        <v>0.498</v>
      </c>
      <c r="J9" s="53">
        <v>0.20699999999999999</v>
      </c>
      <c r="K9" s="12">
        <f>VLOOKUP(TRIM(A9 &amp; ""), 'planilha crua'!$A$2:$B$10000, 2, FALSE)</f>
        <v>45728</v>
      </c>
      <c r="L9" s="1">
        <f t="shared" si="0"/>
        <v>1</v>
      </c>
    </row>
    <row r="10" spans="1:12" x14ac:dyDescent="0.35">
      <c r="A10" s="1" t="s">
        <v>272</v>
      </c>
      <c r="B10" s="1">
        <v>2</v>
      </c>
      <c r="C10" s="1" t="s">
        <v>25</v>
      </c>
      <c r="D10" s="1" t="s">
        <v>26</v>
      </c>
      <c r="E10" s="1">
        <v>3</v>
      </c>
      <c r="F10" s="1">
        <v>85</v>
      </c>
      <c r="G10" s="1" t="s">
        <v>38</v>
      </c>
      <c r="H10" s="1">
        <v>6</v>
      </c>
      <c r="I10" s="1">
        <v>0.54500000000000004</v>
      </c>
      <c r="J10" s="53">
        <v>0.28599999999999998</v>
      </c>
      <c r="K10" s="12">
        <f>VLOOKUP(TRIM(A10 &amp; ""), 'planilha crua'!$A$2:$B$10000, 2, FALSE)</f>
        <v>45728</v>
      </c>
      <c r="L10" s="1">
        <f t="shared" si="0"/>
        <v>1</v>
      </c>
    </row>
    <row r="11" spans="1:12" x14ac:dyDescent="0.35">
      <c r="A11" s="1" t="s">
        <v>276</v>
      </c>
      <c r="B11" s="1">
        <v>2</v>
      </c>
      <c r="C11" s="1" t="s">
        <v>25</v>
      </c>
      <c r="D11" s="1" t="s">
        <v>26</v>
      </c>
      <c r="E11" s="1">
        <v>3</v>
      </c>
      <c r="F11" s="1">
        <v>86</v>
      </c>
      <c r="G11" s="1" t="s">
        <v>38</v>
      </c>
      <c r="H11" s="1">
        <v>6</v>
      </c>
      <c r="I11" s="1">
        <v>0.47499999999999998</v>
      </c>
      <c r="J11" s="53">
        <v>0.2</v>
      </c>
      <c r="K11" s="12">
        <f>VLOOKUP(TRIM(A11 &amp; ""), 'planilha crua'!$A$2:$B$10000, 2, FALSE)</f>
        <v>45728</v>
      </c>
      <c r="L11" s="1">
        <f t="shared" si="0"/>
        <v>1</v>
      </c>
    </row>
    <row r="12" spans="1:12" x14ac:dyDescent="0.35">
      <c r="A12" s="1" t="s">
        <v>290</v>
      </c>
      <c r="B12" s="1">
        <v>2</v>
      </c>
      <c r="C12" s="1" t="s">
        <v>25</v>
      </c>
      <c r="D12" s="1" t="s">
        <v>26</v>
      </c>
      <c r="E12" s="1">
        <v>3</v>
      </c>
      <c r="F12" s="1">
        <v>88</v>
      </c>
      <c r="G12" s="1" t="s">
        <v>38</v>
      </c>
      <c r="H12" s="1">
        <v>7</v>
      </c>
      <c r="I12" s="1">
        <v>0.38400000000000001</v>
      </c>
      <c r="J12" s="53">
        <v>0.16600000000000001</v>
      </c>
      <c r="K12" s="12">
        <f>VLOOKUP(TRIM(A12 &amp; ""), 'planilha crua'!$A$2:$B$10000, 2, FALSE)</f>
        <v>45728</v>
      </c>
      <c r="L12" s="1">
        <f t="shared" si="0"/>
        <v>1</v>
      </c>
    </row>
    <row r="13" spans="1:12" x14ac:dyDescent="0.35">
      <c r="A13" s="1" t="s">
        <v>295</v>
      </c>
      <c r="B13" s="1">
        <v>2</v>
      </c>
      <c r="C13" s="1" t="s">
        <v>25</v>
      </c>
      <c r="D13" s="1" t="s">
        <v>26</v>
      </c>
      <c r="E13" s="1">
        <v>3</v>
      </c>
      <c r="F13" s="1">
        <v>90</v>
      </c>
      <c r="G13" s="1" t="s">
        <v>38</v>
      </c>
      <c r="H13" s="1">
        <v>7</v>
      </c>
      <c r="I13" s="1">
        <v>0.48299999999999998</v>
      </c>
      <c r="J13" s="53">
        <v>0.26700000000000002</v>
      </c>
      <c r="K13" s="12">
        <f>VLOOKUP(TRIM(A13 &amp; ""), 'planilha crua'!$A$2:$B$10000, 2, FALSE)</f>
        <v>45728</v>
      </c>
      <c r="L13" s="1">
        <f t="shared" si="0"/>
        <v>1</v>
      </c>
    </row>
    <row r="14" spans="1:12" x14ac:dyDescent="0.35">
      <c r="A14" s="1" t="s">
        <v>302</v>
      </c>
      <c r="B14" s="1">
        <v>2</v>
      </c>
      <c r="C14" s="1" t="s">
        <v>25</v>
      </c>
      <c r="D14" s="1" t="s">
        <v>26</v>
      </c>
      <c r="E14" s="1">
        <v>6</v>
      </c>
      <c r="F14" s="1">
        <v>92</v>
      </c>
      <c r="G14" s="1" t="s">
        <v>38</v>
      </c>
      <c r="H14" s="1">
        <v>8</v>
      </c>
      <c r="I14" s="1">
        <v>0.58399999999999996</v>
      </c>
      <c r="J14" s="53">
        <v>0.191</v>
      </c>
      <c r="K14" s="12">
        <f>VLOOKUP(TRIM(A14 &amp; ""), 'planilha crua'!$A$2:$B$10000, 2, FALSE)</f>
        <v>45728</v>
      </c>
      <c r="L14" s="1">
        <f t="shared" si="0"/>
        <v>1</v>
      </c>
    </row>
    <row r="15" spans="1:12" x14ac:dyDescent="0.35">
      <c r="A15" s="1" t="s">
        <v>312</v>
      </c>
      <c r="B15" s="1">
        <v>2</v>
      </c>
      <c r="C15" s="1" t="s">
        <v>25</v>
      </c>
      <c r="D15" s="1" t="s">
        <v>26</v>
      </c>
      <c r="E15" s="1">
        <v>6</v>
      </c>
      <c r="F15" s="1">
        <v>94</v>
      </c>
      <c r="G15" s="1" t="s">
        <v>38</v>
      </c>
      <c r="H15" s="1">
        <v>8</v>
      </c>
      <c r="I15" s="1">
        <v>0.502</v>
      </c>
      <c r="J15" s="53">
        <v>0.21299999999999999</v>
      </c>
      <c r="K15" s="12">
        <f>VLOOKUP(TRIM(A15 &amp; ""), 'planilha crua'!$A$2:$B$10000, 2, FALSE)</f>
        <v>45728</v>
      </c>
      <c r="L15" s="1">
        <f t="shared" si="0"/>
        <v>1</v>
      </c>
    </row>
    <row r="16" spans="1:12" x14ac:dyDescent="0.35">
      <c r="A16" s="1" t="s">
        <v>325</v>
      </c>
      <c r="B16" s="1">
        <v>2</v>
      </c>
      <c r="C16" s="1" t="s">
        <v>25</v>
      </c>
      <c r="D16" s="1" t="s">
        <v>26</v>
      </c>
      <c r="E16" s="1">
        <v>1</v>
      </c>
      <c r="F16" s="1">
        <v>95</v>
      </c>
      <c r="G16" s="1" t="s">
        <v>38</v>
      </c>
      <c r="H16" s="1">
        <v>9</v>
      </c>
      <c r="I16" s="1">
        <v>0.57099999999999995</v>
      </c>
      <c r="J16" s="53">
        <v>0.17599999999999999</v>
      </c>
      <c r="K16" s="12">
        <f>VLOOKUP(TRIM(A16 &amp; ""), 'planilha crua'!$A$2:$B$10000, 2, FALSE)</f>
        <v>45741</v>
      </c>
      <c r="L16" s="1">
        <f t="shared" si="0"/>
        <v>1</v>
      </c>
    </row>
    <row r="17" spans="1:12" x14ac:dyDescent="0.35">
      <c r="A17" s="1" t="s">
        <v>329</v>
      </c>
      <c r="B17" s="1">
        <v>2</v>
      </c>
      <c r="C17" s="1" t="s">
        <v>25</v>
      </c>
      <c r="D17" s="1" t="s">
        <v>26</v>
      </c>
      <c r="E17" s="1">
        <v>1</v>
      </c>
      <c r="F17" s="1">
        <v>97</v>
      </c>
      <c r="G17" s="1" t="s">
        <v>38</v>
      </c>
      <c r="H17" s="1">
        <v>9</v>
      </c>
      <c r="I17" s="1">
        <v>0.34899999999999998</v>
      </c>
      <c r="J17" s="53">
        <v>0.184</v>
      </c>
      <c r="K17" s="12">
        <f>VLOOKUP(TRIM(A17 &amp; ""), 'planilha crua'!$A$2:$B$10000, 2, FALSE)</f>
        <v>45741</v>
      </c>
      <c r="L17" s="1">
        <f t="shared" si="0"/>
        <v>1</v>
      </c>
    </row>
    <row r="18" spans="1:12" x14ac:dyDescent="0.35">
      <c r="A18" s="1" t="s">
        <v>333</v>
      </c>
      <c r="B18" s="1">
        <v>2</v>
      </c>
      <c r="C18" s="1" t="s">
        <v>25</v>
      </c>
      <c r="D18" s="1" t="s">
        <v>26</v>
      </c>
      <c r="E18" s="1">
        <v>1</v>
      </c>
      <c r="F18" s="1">
        <v>98</v>
      </c>
      <c r="G18" s="1" t="s">
        <v>38</v>
      </c>
      <c r="H18" s="1">
        <v>9</v>
      </c>
      <c r="I18" s="1">
        <v>0.33300000000000002</v>
      </c>
      <c r="J18" s="53">
        <v>0.20599999999999999</v>
      </c>
      <c r="K18" s="12">
        <f>VLOOKUP(TRIM(A18 &amp; ""), 'planilha crua'!$A$2:$B$10000, 2, FALSE)</f>
        <v>45741</v>
      </c>
      <c r="L18" s="1">
        <f t="shared" si="0"/>
        <v>1</v>
      </c>
    </row>
    <row r="19" spans="1:12" x14ac:dyDescent="0.35">
      <c r="A19" s="1" t="s">
        <v>335</v>
      </c>
      <c r="B19" s="1">
        <v>2</v>
      </c>
      <c r="C19" s="1" t="s">
        <v>25</v>
      </c>
      <c r="D19" s="1" t="s">
        <v>26</v>
      </c>
      <c r="E19" s="1">
        <v>1</v>
      </c>
      <c r="F19" s="1">
        <v>99</v>
      </c>
      <c r="G19" s="1" t="s">
        <v>38</v>
      </c>
      <c r="H19" s="1">
        <v>9</v>
      </c>
      <c r="I19" s="1">
        <v>0.40100000000000002</v>
      </c>
      <c r="J19" s="53">
        <v>0.216</v>
      </c>
      <c r="K19" s="12">
        <f>VLOOKUP(TRIM(A19 &amp; ""), 'planilha crua'!$A$2:$B$10000, 2, FALSE)</f>
        <v>45741</v>
      </c>
      <c r="L19" s="1">
        <f t="shared" si="0"/>
        <v>1</v>
      </c>
    </row>
    <row r="20" spans="1:12" x14ac:dyDescent="0.35">
      <c r="A20" s="1" t="s">
        <v>339</v>
      </c>
      <c r="B20" s="1">
        <v>2</v>
      </c>
      <c r="C20" s="1" t="s">
        <v>25</v>
      </c>
      <c r="D20" s="1" t="s">
        <v>26</v>
      </c>
      <c r="E20" s="1">
        <v>1</v>
      </c>
      <c r="F20" s="1">
        <v>100</v>
      </c>
      <c r="G20" s="1" t="s">
        <v>38</v>
      </c>
      <c r="H20" s="1">
        <v>10</v>
      </c>
      <c r="I20" s="1">
        <v>0.51</v>
      </c>
      <c r="J20" s="53">
        <v>0.18</v>
      </c>
      <c r="K20" s="12">
        <f>VLOOKUP(TRIM(A20 &amp; ""), 'planilha crua'!$A$2:$B$10000, 2, FALSE)</f>
        <v>45741</v>
      </c>
      <c r="L20" s="1">
        <f t="shared" si="0"/>
        <v>1</v>
      </c>
    </row>
    <row r="21" spans="1:12" x14ac:dyDescent="0.35">
      <c r="A21" s="1" t="s">
        <v>346</v>
      </c>
      <c r="B21" s="1">
        <v>2</v>
      </c>
      <c r="C21" s="1" t="s">
        <v>25</v>
      </c>
      <c r="D21" s="1" t="s">
        <v>26</v>
      </c>
      <c r="E21" s="1">
        <v>1</v>
      </c>
      <c r="F21" s="1">
        <v>102</v>
      </c>
      <c r="G21" s="1" t="s">
        <v>38</v>
      </c>
      <c r="H21" s="1">
        <v>10</v>
      </c>
      <c r="I21" s="1">
        <v>0.50800000000000001</v>
      </c>
      <c r="J21" s="53">
        <v>0.17899999999999999</v>
      </c>
      <c r="K21" s="12">
        <f>VLOOKUP(TRIM(A21 &amp; ""), 'planilha crua'!$A$2:$B$10000, 2, FALSE)</f>
        <v>45741</v>
      </c>
      <c r="L21" s="1">
        <f t="shared" si="0"/>
        <v>1</v>
      </c>
    </row>
    <row r="22" spans="1:12" x14ac:dyDescent="0.35">
      <c r="A22" s="1" t="s">
        <v>348</v>
      </c>
      <c r="B22" s="1">
        <v>2</v>
      </c>
      <c r="C22" s="1" t="s">
        <v>25</v>
      </c>
      <c r="D22" s="1" t="s">
        <v>26</v>
      </c>
      <c r="E22" s="1">
        <v>1</v>
      </c>
      <c r="F22" s="1">
        <v>103</v>
      </c>
      <c r="G22" s="1" t="s">
        <v>38</v>
      </c>
      <c r="H22" s="1">
        <v>10</v>
      </c>
      <c r="I22" s="1">
        <v>0.39700000000000002</v>
      </c>
      <c r="J22" s="53">
        <v>0.19700000000000001</v>
      </c>
      <c r="K22" s="12">
        <f>VLOOKUP(TRIM(A22 &amp; ""), 'planilha crua'!$A$2:$B$10000, 2, FALSE)</f>
        <v>45741</v>
      </c>
      <c r="L22" s="1">
        <f t="shared" si="0"/>
        <v>1</v>
      </c>
    </row>
    <row r="23" spans="1:12" x14ac:dyDescent="0.35">
      <c r="A23" s="1" t="s">
        <v>351</v>
      </c>
      <c r="B23" s="1">
        <v>2</v>
      </c>
      <c r="C23" s="1" t="s">
        <v>25</v>
      </c>
      <c r="D23" s="1" t="s">
        <v>26</v>
      </c>
      <c r="E23" s="1">
        <v>1</v>
      </c>
      <c r="F23" s="1">
        <v>104</v>
      </c>
      <c r="G23" s="1" t="s">
        <v>38</v>
      </c>
      <c r="H23" s="1">
        <v>11</v>
      </c>
      <c r="I23" s="1">
        <v>0.437</v>
      </c>
      <c r="J23" s="53">
        <v>0.161</v>
      </c>
      <c r="K23" s="12">
        <f>VLOOKUP(TRIM(A23 &amp; ""), 'planilha crua'!$A$2:$B$10000, 2, FALSE)</f>
        <v>45741</v>
      </c>
      <c r="L23" s="1">
        <f t="shared" si="0"/>
        <v>1</v>
      </c>
    </row>
    <row r="24" spans="1:12" x14ac:dyDescent="0.35">
      <c r="A24" s="1" t="s">
        <v>359</v>
      </c>
      <c r="B24" s="1">
        <v>2</v>
      </c>
      <c r="C24" s="1" t="s">
        <v>25</v>
      </c>
      <c r="D24" s="1" t="s">
        <v>26</v>
      </c>
      <c r="E24" s="1">
        <v>1</v>
      </c>
      <c r="F24" s="1">
        <v>107</v>
      </c>
      <c r="G24" s="1" t="s">
        <v>38</v>
      </c>
      <c r="H24" s="1">
        <v>11</v>
      </c>
      <c r="I24" s="1">
        <v>0.45500000000000002</v>
      </c>
      <c r="J24" s="53">
        <v>0.16400000000000001</v>
      </c>
      <c r="K24" s="12">
        <f>VLOOKUP(TRIM(A24 &amp; ""), 'planilha crua'!$A$2:$B$10000, 2, FALSE)</f>
        <v>45741</v>
      </c>
      <c r="L24" s="1">
        <f t="shared" si="0"/>
        <v>1</v>
      </c>
    </row>
    <row r="25" spans="1:12" x14ac:dyDescent="0.35">
      <c r="A25" s="1" t="s">
        <v>438</v>
      </c>
      <c r="B25" s="1">
        <v>2</v>
      </c>
      <c r="C25" s="1" t="s">
        <v>25</v>
      </c>
      <c r="D25" s="1" t="s">
        <v>26</v>
      </c>
      <c r="E25" s="1">
        <v>5</v>
      </c>
      <c r="F25" s="1">
        <v>134</v>
      </c>
      <c r="G25" s="1" t="s">
        <v>38</v>
      </c>
      <c r="H25" s="1">
        <v>12</v>
      </c>
      <c r="I25" s="1">
        <v>0.53300000000000003</v>
      </c>
      <c r="J25" s="53">
        <v>0.17499999999999999</v>
      </c>
      <c r="K25" s="12">
        <f>VLOOKUP(TRIM(A25 &amp; ""), 'planilha crua'!$A$2:$B$10000, 2, FALSE)</f>
        <v>45775</v>
      </c>
      <c r="L25" s="1">
        <f t="shared" si="0"/>
        <v>4</v>
      </c>
    </row>
    <row r="26" spans="1:12" x14ac:dyDescent="0.35">
      <c r="A26" s="1" t="s">
        <v>441</v>
      </c>
      <c r="B26" s="1">
        <v>2</v>
      </c>
      <c r="C26" s="1" t="s">
        <v>25</v>
      </c>
      <c r="D26" s="1" t="s">
        <v>26</v>
      </c>
      <c r="E26" s="1">
        <v>5</v>
      </c>
      <c r="F26" s="1">
        <v>135</v>
      </c>
      <c r="G26" s="1" t="s">
        <v>38</v>
      </c>
      <c r="H26" s="1">
        <v>12</v>
      </c>
      <c r="I26" s="1">
        <v>0.505</v>
      </c>
      <c r="J26" s="53">
        <v>0.21</v>
      </c>
      <c r="K26" s="12">
        <f>VLOOKUP(TRIM(A26 &amp; ""), 'planilha crua'!$A$2:$B$10000, 2, FALSE)</f>
        <v>45775</v>
      </c>
      <c r="L26" s="1">
        <f t="shared" si="0"/>
        <v>4</v>
      </c>
    </row>
    <row r="27" spans="1:12" x14ac:dyDescent="0.35">
      <c r="A27" s="1" t="s">
        <v>23</v>
      </c>
      <c r="B27" s="6">
        <v>1</v>
      </c>
      <c r="C27" s="1" t="s">
        <v>25</v>
      </c>
      <c r="D27" s="1" t="s">
        <v>26</v>
      </c>
      <c r="E27" s="1">
        <v>1</v>
      </c>
      <c r="F27" s="1">
        <v>1</v>
      </c>
      <c r="G27" s="1" t="s">
        <v>27</v>
      </c>
      <c r="H27" s="1">
        <v>13</v>
      </c>
      <c r="I27" s="1">
        <v>0.59299999999999997</v>
      </c>
      <c r="J27" s="53">
        <v>0.14499999999999999</v>
      </c>
      <c r="K27" s="12">
        <f>VLOOKUP(TRIM(A27 &amp; ""), 'planilha crua'!$A$2:$B$10000, 2, FALSE)</f>
        <v>45401</v>
      </c>
      <c r="L27" s="1">
        <f t="shared" si="0"/>
        <v>3</v>
      </c>
    </row>
    <row r="28" spans="1:12" x14ac:dyDescent="0.35">
      <c r="A28" s="1" t="s">
        <v>62</v>
      </c>
      <c r="B28" s="6">
        <v>1</v>
      </c>
      <c r="C28" s="1" t="s">
        <v>25</v>
      </c>
      <c r="D28" s="1" t="s">
        <v>26</v>
      </c>
      <c r="E28" s="1">
        <v>1</v>
      </c>
      <c r="F28" s="1">
        <v>10</v>
      </c>
      <c r="G28" s="1" t="s">
        <v>27</v>
      </c>
      <c r="H28" s="1">
        <v>14</v>
      </c>
      <c r="I28" s="1">
        <v>0.54500000000000004</v>
      </c>
      <c r="J28" s="53">
        <v>0.186</v>
      </c>
      <c r="K28" s="12">
        <f>VLOOKUP(TRIM(A28 &amp; ""), 'planilha crua'!$A$2:$B$10000, 2, FALSE)</f>
        <v>45401</v>
      </c>
      <c r="L28" s="1">
        <f t="shared" si="0"/>
        <v>3</v>
      </c>
    </row>
    <row r="29" spans="1:12" x14ac:dyDescent="0.35">
      <c r="A29" s="1" t="s">
        <v>66</v>
      </c>
      <c r="B29" s="6">
        <v>1</v>
      </c>
      <c r="C29" s="1" t="s">
        <v>25</v>
      </c>
      <c r="D29" s="1" t="s">
        <v>26</v>
      </c>
      <c r="E29" s="1">
        <v>1</v>
      </c>
      <c r="F29" s="1">
        <v>11</v>
      </c>
      <c r="G29" s="1" t="s">
        <v>27</v>
      </c>
      <c r="H29" s="1">
        <v>15</v>
      </c>
      <c r="I29" s="1">
        <v>0.60699999999999998</v>
      </c>
      <c r="J29" s="53">
        <v>0.23400000000000001</v>
      </c>
      <c r="K29" s="12">
        <f>VLOOKUP(TRIM(A29 &amp; ""), 'planilha crua'!$A$2:$B$10000, 2, FALSE)</f>
        <v>45401</v>
      </c>
      <c r="L29" s="1">
        <f t="shared" si="0"/>
        <v>3</v>
      </c>
    </row>
    <row r="30" spans="1:12" x14ac:dyDescent="0.35">
      <c r="A30" s="1" t="s">
        <v>70</v>
      </c>
      <c r="B30" s="6">
        <v>1</v>
      </c>
      <c r="C30" s="1" t="s">
        <v>25</v>
      </c>
      <c r="D30" s="1" t="s">
        <v>26</v>
      </c>
      <c r="E30" s="1">
        <v>1</v>
      </c>
      <c r="F30" s="1">
        <v>12</v>
      </c>
      <c r="G30" s="1" t="s">
        <v>27</v>
      </c>
      <c r="H30" s="1">
        <v>16</v>
      </c>
      <c r="I30" s="1">
        <v>0.57899999999999996</v>
      </c>
      <c r="J30" s="53">
        <v>0.18099999999999999</v>
      </c>
      <c r="K30" s="12">
        <f>VLOOKUP(TRIM(A30 &amp; ""), 'planilha crua'!$A$2:$B$10000, 2, FALSE)</f>
        <v>45401</v>
      </c>
      <c r="L30" s="1">
        <f t="shared" si="0"/>
        <v>3</v>
      </c>
    </row>
    <row r="31" spans="1:12" x14ac:dyDescent="0.35">
      <c r="A31" s="1" t="s">
        <v>74</v>
      </c>
      <c r="B31" s="6">
        <v>1</v>
      </c>
      <c r="C31" s="1" t="s">
        <v>25</v>
      </c>
      <c r="D31" s="1" t="s">
        <v>26</v>
      </c>
      <c r="E31" s="1">
        <v>1</v>
      </c>
      <c r="F31" s="1">
        <v>13</v>
      </c>
      <c r="G31" s="1" t="s">
        <v>27</v>
      </c>
      <c r="H31" s="1">
        <v>17</v>
      </c>
      <c r="I31" s="1">
        <v>0.58699999999999997</v>
      </c>
      <c r="J31" s="53">
        <v>0.19400000000000001</v>
      </c>
      <c r="K31" s="12">
        <f>VLOOKUP(TRIM(A31 &amp; ""), 'planilha crua'!$A$2:$B$10000, 2, FALSE)</f>
        <v>45401</v>
      </c>
      <c r="L31" s="1">
        <f t="shared" si="0"/>
        <v>3</v>
      </c>
    </row>
    <row r="32" spans="1:12" x14ac:dyDescent="0.35">
      <c r="A32" s="1" t="s">
        <v>77</v>
      </c>
      <c r="B32" s="6">
        <v>1</v>
      </c>
      <c r="C32" s="1" t="s">
        <v>25</v>
      </c>
      <c r="D32" s="1" t="s">
        <v>26</v>
      </c>
      <c r="E32" s="1">
        <v>2</v>
      </c>
      <c r="F32" s="1">
        <v>14</v>
      </c>
      <c r="G32" s="1" t="s">
        <v>27</v>
      </c>
      <c r="H32" s="1">
        <v>18</v>
      </c>
      <c r="I32" s="1">
        <v>0.52600000000000002</v>
      </c>
      <c r="J32" s="53">
        <v>0.183</v>
      </c>
      <c r="K32" s="12">
        <f>VLOOKUP(TRIM(A32 &amp; ""), 'planilha crua'!$A$2:$B$10000, 2, FALSE)</f>
        <v>45401</v>
      </c>
      <c r="L32" s="1">
        <f t="shared" si="0"/>
        <v>3</v>
      </c>
    </row>
    <row r="33" spans="1:12" x14ac:dyDescent="0.35">
      <c r="A33" s="1" t="s">
        <v>175</v>
      </c>
      <c r="B33" s="6">
        <v>1</v>
      </c>
      <c r="C33" s="1" t="s">
        <v>25</v>
      </c>
      <c r="D33" s="1" t="s">
        <v>26</v>
      </c>
      <c r="E33" s="1">
        <v>4</v>
      </c>
      <c r="F33" s="1">
        <v>51</v>
      </c>
      <c r="G33" s="1" t="s">
        <v>27</v>
      </c>
      <c r="H33" s="1">
        <v>19</v>
      </c>
      <c r="I33" s="1">
        <v>0.45300000000000001</v>
      </c>
      <c r="J33" s="53">
        <v>0.22</v>
      </c>
      <c r="K33" s="12">
        <f>VLOOKUP(TRIM(A33 &amp; ""), 'planilha crua'!$A$2:$B$10000, 2, FALSE)</f>
        <v>45407</v>
      </c>
      <c r="L33" s="1">
        <f t="shared" si="0"/>
        <v>3</v>
      </c>
    </row>
    <row r="34" spans="1:12" x14ac:dyDescent="0.35">
      <c r="A34" s="1" t="s">
        <v>179</v>
      </c>
      <c r="B34" s="6">
        <v>1</v>
      </c>
      <c r="C34" s="1" t="s">
        <v>25</v>
      </c>
      <c r="D34" s="1" t="s">
        <v>26</v>
      </c>
      <c r="E34" s="1">
        <v>4</v>
      </c>
      <c r="F34" s="1">
        <v>52</v>
      </c>
      <c r="G34" s="1" t="s">
        <v>27</v>
      </c>
      <c r="H34" s="1">
        <v>20</v>
      </c>
      <c r="I34" s="1">
        <v>0.59899999999999998</v>
      </c>
      <c r="J34" s="53">
        <v>0.22500000000000001</v>
      </c>
      <c r="K34" s="12">
        <f>VLOOKUP(TRIM(A34 &amp; ""), 'planilha crua'!$A$2:$B$10000, 2, FALSE)</f>
        <v>45407</v>
      </c>
      <c r="L34" s="1">
        <f t="shared" si="0"/>
        <v>3</v>
      </c>
    </row>
    <row r="35" spans="1:12" x14ac:dyDescent="0.35">
      <c r="A35" s="1" t="s">
        <v>184</v>
      </c>
      <c r="B35" s="6">
        <v>1</v>
      </c>
      <c r="C35" s="1" t="s">
        <v>25</v>
      </c>
      <c r="D35" s="1" t="s">
        <v>26</v>
      </c>
      <c r="E35" s="1">
        <v>4</v>
      </c>
      <c r="F35" s="1">
        <v>54</v>
      </c>
      <c r="G35" s="1" t="s">
        <v>27</v>
      </c>
      <c r="H35" s="1">
        <v>21</v>
      </c>
      <c r="I35" s="1">
        <v>0.51900000000000002</v>
      </c>
      <c r="J35" s="53">
        <v>0.18</v>
      </c>
      <c r="K35" s="12">
        <f>VLOOKUP(TRIM(A35 &amp; ""), 'planilha crua'!$A$2:$B$10000, 2, FALSE)</f>
        <v>45407</v>
      </c>
      <c r="L35" s="1">
        <f t="shared" si="0"/>
        <v>3</v>
      </c>
    </row>
    <row r="36" spans="1:12" x14ac:dyDescent="0.35">
      <c r="A36" s="1" t="s">
        <v>187</v>
      </c>
      <c r="B36" s="6">
        <v>1</v>
      </c>
      <c r="C36" s="1" t="s">
        <v>25</v>
      </c>
      <c r="D36" s="1" t="s">
        <v>26</v>
      </c>
      <c r="E36" s="1">
        <v>3</v>
      </c>
      <c r="F36" s="1">
        <v>55</v>
      </c>
      <c r="G36" s="1" t="s">
        <v>27</v>
      </c>
      <c r="H36" s="1">
        <v>22</v>
      </c>
      <c r="I36" s="1">
        <v>0.56200000000000006</v>
      </c>
      <c r="J36" s="53">
        <v>0.154</v>
      </c>
      <c r="K36" s="12">
        <f>VLOOKUP(TRIM(A36 &amp; ""), 'planilha crua'!$A$2:$B$10000, 2, FALSE)</f>
        <v>45407</v>
      </c>
      <c r="L36" s="1">
        <f t="shared" si="0"/>
        <v>3</v>
      </c>
    </row>
    <row r="37" spans="1:12" x14ac:dyDescent="0.35">
      <c r="A37" s="1" t="s">
        <v>191</v>
      </c>
      <c r="B37" s="6">
        <v>1</v>
      </c>
      <c r="C37" s="1" t="s">
        <v>25</v>
      </c>
      <c r="D37" s="1" t="s">
        <v>26</v>
      </c>
      <c r="E37" s="1">
        <v>3</v>
      </c>
      <c r="F37" s="1">
        <v>56</v>
      </c>
      <c r="G37" s="1" t="s">
        <v>27</v>
      </c>
      <c r="H37" s="1">
        <v>23</v>
      </c>
      <c r="I37" s="1">
        <v>0.56100000000000005</v>
      </c>
      <c r="J37" s="53">
        <v>0.251</v>
      </c>
      <c r="K37" s="12">
        <f>VLOOKUP(TRIM(A37 &amp; ""), 'planilha crua'!$A$2:$B$10000, 2, FALSE)</f>
        <v>45407</v>
      </c>
      <c r="L37" s="1">
        <f t="shared" si="0"/>
        <v>3</v>
      </c>
    </row>
    <row r="38" spans="1:12" x14ac:dyDescent="0.35">
      <c r="A38" s="1" t="s">
        <v>194</v>
      </c>
      <c r="B38" s="6">
        <v>1</v>
      </c>
      <c r="C38" s="1" t="s">
        <v>25</v>
      </c>
      <c r="D38" s="1" t="s">
        <v>26</v>
      </c>
      <c r="E38" s="1">
        <v>3</v>
      </c>
      <c r="F38" s="1">
        <v>57</v>
      </c>
      <c r="G38" s="1" t="s">
        <v>27</v>
      </c>
      <c r="H38" s="1">
        <v>24</v>
      </c>
      <c r="I38" s="1">
        <v>0.48199999999999998</v>
      </c>
      <c r="J38" s="53">
        <v>0.21199999999999999</v>
      </c>
      <c r="K38" s="12">
        <f>VLOOKUP(TRIM(A38 &amp; ""), 'planilha crua'!$A$2:$B$10000, 2, FALSE)</f>
        <v>45407</v>
      </c>
      <c r="L38" s="1">
        <f t="shared" si="0"/>
        <v>3</v>
      </c>
    </row>
    <row r="39" spans="1:12" x14ac:dyDescent="0.35">
      <c r="A39" s="1" t="s">
        <v>199</v>
      </c>
      <c r="B39" s="6">
        <v>1</v>
      </c>
      <c r="C39" s="1" t="s">
        <v>25</v>
      </c>
      <c r="D39" s="1" t="s">
        <v>26</v>
      </c>
      <c r="E39" s="1">
        <v>3</v>
      </c>
      <c r="F39" s="1">
        <v>58</v>
      </c>
      <c r="G39" s="1" t="s">
        <v>27</v>
      </c>
      <c r="H39" s="1">
        <v>25</v>
      </c>
      <c r="I39" s="1">
        <v>0.52600000000000002</v>
      </c>
      <c r="J39" s="53">
        <v>0.183</v>
      </c>
      <c r="K39" s="12">
        <f>VLOOKUP(TRIM(A39 &amp; ""), 'planilha crua'!$A$2:$B$10000, 2, FALSE)</f>
        <v>45407</v>
      </c>
      <c r="L39" s="1">
        <f t="shared" si="0"/>
        <v>3</v>
      </c>
    </row>
    <row r="40" spans="1:12" x14ac:dyDescent="0.35">
      <c r="A40" s="1" t="s">
        <v>248</v>
      </c>
      <c r="B40" s="1">
        <v>2</v>
      </c>
      <c r="C40" s="1" t="s">
        <v>25</v>
      </c>
      <c r="D40" s="1" t="s">
        <v>26</v>
      </c>
      <c r="E40" s="1">
        <v>1</v>
      </c>
      <c r="F40" s="1">
        <v>77</v>
      </c>
      <c r="G40" s="1" t="s">
        <v>27</v>
      </c>
      <c r="H40" s="1">
        <v>26</v>
      </c>
      <c r="I40" s="1">
        <v>0.45</v>
      </c>
      <c r="J40" s="53">
        <v>0.193</v>
      </c>
      <c r="K40" s="12">
        <f>VLOOKUP(TRIM(A40 &amp; ""), 'planilha crua'!$A$2:$B$10000, 2, FALSE)</f>
        <v>45728</v>
      </c>
      <c r="L40" s="1">
        <f t="shared" si="0"/>
        <v>1</v>
      </c>
    </row>
    <row r="41" spans="1:12" x14ac:dyDescent="0.35">
      <c r="A41" s="1" t="s">
        <v>250</v>
      </c>
      <c r="B41" s="1">
        <v>2</v>
      </c>
      <c r="C41" s="1" t="s">
        <v>25</v>
      </c>
      <c r="D41" s="1" t="s">
        <v>26</v>
      </c>
      <c r="E41" s="1">
        <v>1</v>
      </c>
      <c r="F41" s="1">
        <v>78</v>
      </c>
      <c r="G41" s="1" t="s">
        <v>27</v>
      </c>
      <c r="H41" s="1">
        <v>28</v>
      </c>
      <c r="I41" s="1">
        <v>0.442</v>
      </c>
      <c r="J41" s="53">
        <v>0.19</v>
      </c>
      <c r="K41" s="12">
        <f>VLOOKUP(TRIM(A41 &amp; ""), 'planilha crua'!$A$2:$B$10000, 2, FALSE)</f>
        <v>45728</v>
      </c>
      <c r="L41" s="1">
        <f t="shared" si="0"/>
        <v>1</v>
      </c>
    </row>
    <row r="42" spans="1:12" x14ac:dyDescent="0.35">
      <c r="A42" s="1" t="s">
        <v>253</v>
      </c>
      <c r="B42" s="1">
        <v>2</v>
      </c>
      <c r="C42" s="1" t="s">
        <v>25</v>
      </c>
      <c r="D42" s="1" t="s">
        <v>26</v>
      </c>
      <c r="E42" s="1">
        <v>1</v>
      </c>
      <c r="F42" s="1">
        <v>79</v>
      </c>
      <c r="G42" s="1" t="s">
        <v>27</v>
      </c>
      <c r="H42" s="1">
        <v>29</v>
      </c>
      <c r="I42" s="1">
        <v>0.44500000000000001</v>
      </c>
      <c r="J42" s="53">
        <v>0.17799999999999999</v>
      </c>
      <c r="K42" s="12">
        <f>VLOOKUP(TRIM(A42 &amp; ""), 'planilha crua'!$A$2:$B$10000, 2, FALSE)</f>
        <v>45728</v>
      </c>
      <c r="L42" s="1">
        <f t="shared" si="0"/>
        <v>1</v>
      </c>
    </row>
    <row r="43" spans="1:12" x14ac:dyDescent="0.35">
      <c r="A43" s="1" t="s">
        <v>363</v>
      </c>
      <c r="B43" s="1">
        <v>2</v>
      </c>
      <c r="C43" s="1" t="s">
        <v>25</v>
      </c>
      <c r="D43" s="1" t="s">
        <v>26</v>
      </c>
      <c r="E43" s="1">
        <v>1</v>
      </c>
      <c r="F43" s="1">
        <v>109</v>
      </c>
      <c r="G43" s="1" t="s">
        <v>27</v>
      </c>
      <c r="H43" s="1">
        <v>31</v>
      </c>
      <c r="I43" s="1">
        <v>0.44700000000000001</v>
      </c>
      <c r="J43" s="53">
        <v>0.24099999999999999</v>
      </c>
      <c r="K43" s="12">
        <f>VLOOKUP(TRIM(A43 &amp; ""), 'planilha crua'!$A$2:$B$10000, 2, FALSE)</f>
        <v>45755</v>
      </c>
      <c r="L43" s="1">
        <f t="shared" si="0"/>
        <v>2</v>
      </c>
    </row>
    <row r="44" spans="1:12" x14ac:dyDescent="0.35">
      <c r="A44" s="1" t="s">
        <v>369</v>
      </c>
      <c r="B44" s="1">
        <v>2</v>
      </c>
      <c r="C44" s="1" t="s">
        <v>25</v>
      </c>
      <c r="D44" s="1" t="s">
        <v>26</v>
      </c>
      <c r="E44" s="1">
        <v>1</v>
      </c>
      <c r="F44" s="1">
        <v>111</v>
      </c>
      <c r="G44" s="1" t="s">
        <v>27</v>
      </c>
      <c r="H44" s="1">
        <v>32</v>
      </c>
      <c r="I44" s="1">
        <v>0.49099999999999999</v>
      </c>
      <c r="J44" s="53">
        <v>0.21099999999999999</v>
      </c>
      <c r="K44" s="12">
        <f>VLOOKUP(TRIM(A44 &amp; ""), 'planilha crua'!$A$2:$B$10000, 2, FALSE)</f>
        <v>45755</v>
      </c>
      <c r="L44" s="1">
        <f t="shared" si="0"/>
        <v>2</v>
      </c>
    </row>
    <row r="45" spans="1:12" x14ac:dyDescent="0.35">
      <c r="A45" s="1" t="s">
        <v>376</v>
      </c>
      <c r="B45" s="1">
        <v>2</v>
      </c>
      <c r="C45" s="1" t="s">
        <v>25</v>
      </c>
      <c r="D45" s="1" t="s">
        <v>26</v>
      </c>
      <c r="E45" s="1">
        <v>4</v>
      </c>
      <c r="F45" s="1">
        <v>113</v>
      </c>
      <c r="G45" s="1" t="s">
        <v>27</v>
      </c>
      <c r="H45" s="1">
        <v>33</v>
      </c>
      <c r="I45" s="1">
        <v>0.46500000000000002</v>
      </c>
      <c r="J45" s="53">
        <v>0.19700000000000001</v>
      </c>
      <c r="K45" s="12">
        <f>VLOOKUP(TRIM(A45 &amp; ""), 'planilha crua'!$A$2:$B$10000, 2, FALSE)</f>
        <v>45755</v>
      </c>
      <c r="L45" s="1">
        <f t="shared" si="0"/>
        <v>2</v>
      </c>
    </row>
    <row r="46" spans="1:12" x14ac:dyDescent="0.35">
      <c r="A46" s="1" t="s">
        <v>379</v>
      </c>
      <c r="B46" s="1">
        <v>2</v>
      </c>
      <c r="C46" s="1" t="s">
        <v>25</v>
      </c>
      <c r="D46" s="1" t="s">
        <v>26</v>
      </c>
      <c r="E46" s="1">
        <v>4</v>
      </c>
      <c r="F46" s="1">
        <v>114</v>
      </c>
      <c r="G46" s="1" t="s">
        <v>27</v>
      </c>
      <c r="H46" s="1">
        <v>34</v>
      </c>
      <c r="I46" s="1">
        <v>0.52500000000000002</v>
      </c>
      <c r="J46" s="53">
        <v>0.26800000000000002</v>
      </c>
      <c r="K46" s="12">
        <f>VLOOKUP(TRIM(A46 &amp; ""), 'planilha crua'!$A$2:$B$10000, 2, FALSE)</f>
        <v>45755</v>
      </c>
      <c r="L46" s="1">
        <f t="shared" si="0"/>
        <v>2</v>
      </c>
    </row>
    <row r="47" spans="1:12" x14ac:dyDescent="0.35">
      <c r="A47" s="1" t="s">
        <v>382</v>
      </c>
      <c r="B47" s="1">
        <v>2</v>
      </c>
      <c r="C47" s="1" t="s">
        <v>25</v>
      </c>
      <c r="D47" s="1" t="s">
        <v>26</v>
      </c>
      <c r="E47" s="1">
        <v>4</v>
      </c>
      <c r="F47" s="1">
        <v>115</v>
      </c>
      <c r="G47" s="1" t="s">
        <v>27</v>
      </c>
      <c r="H47" s="1">
        <v>35</v>
      </c>
      <c r="I47" s="1">
        <v>0.55900000000000005</v>
      </c>
      <c r="J47" s="53">
        <v>0.22600000000000001</v>
      </c>
      <c r="K47" s="12">
        <f>VLOOKUP(TRIM(A47 &amp; ""), 'planilha crua'!$A$2:$B$10000, 2, FALSE)</f>
        <v>45755</v>
      </c>
      <c r="L47" s="1">
        <f t="shared" si="0"/>
        <v>2</v>
      </c>
    </row>
    <row r="48" spans="1:12" x14ac:dyDescent="0.35">
      <c r="A48" s="1" t="s">
        <v>394</v>
      </c>
      <c r="B48" s="1">
        <v>2</v>
      </c>
      <c r="C48" s="1" t="s">
        <v>25</v>
      </c>
      <c r="D48" s="1" t="s">
        <v>26</v>
      </c>
      <c r="E48" s="1">
        <v>2</v>
      </c>
      <c r="F48" s="1">
        <v>119</v>
      </c>
      <c r="G48" s="1" t="s">
        <v>27</v>
      </c>
      <c r="H48" s="1">
        <v>38</v>
      </c>
      <c r="I48" s="1">
        <v>0.48699999999999999</v>
      </c>
      <c r="J48" s="53">
        <v>0.17299999999999999</v>
      </c>
      <c r="K48" s="12">
        <f>VLOOKUP(TRIM(A48 &amp; ""), 'planilha crua'!$A$2:$B$10000, 2, FALSE)</f>
        <v>45756</v>
      </c>
      <c r="L48" s="1">
        <f t="shared" si="0"/>
        <v>2</v>
      </c>
    </row>
    <row r="49" spans="1:12" x14ac:dyDescent="0.35">
      <c r="A49" s="1" t="s">
        <v>397</v>
      </c>
      <c r="B49" s="1">
        <v>2</v>
      </c>
      <c r="C49" s="1" t="s">
        <v>25</v>
      </c>
      <c r="D49" s="1" t="s">
        <v>26</v>
      </c>
      <c r="E49" s="1">
        <v>2</v>
      </c>
      <c r="F49" s="1">
        <v>120</v>
      </c>
      <c r="G49" s="1" t="s">
        <v>27</v>
      </c>
      <c r="H49" s="1">
        <v>39</v>
      </c>
      <c r="I49" s="1">
        <v>0.42699999999999999</v>
      </c>
      <c r="J49" s="53">
        <v>0.189</v>
      </c>
      <c r="K49" s="12">
        <f>VLOOKUP(TRIM(A49 &amp; ""), 'planilha crua'!$A$2:$B$10000, 2, FALSE)</f>
        <v>45756</v>
      </c>
      <c r="L49" s="1">
        <f t="shared" si="0"/>
        <v>2</v>
      </c>
    </row>
    <row r="50" spans="1:12" x14ac:dyDescent="0.35">
      <c r="A50" s="1" t="s">
        <v>400</v>
      </c>
      <c r="B50" s="1">
        <v>2</v>
      </c>
      <c r="C50" s="1" t="s">
        <v>25</v>
      </c>
      <c r="D50" s="1" t="s">
        <v>26</v>
      </c>
      <c r="E50" s="1">
        <v>7</v>
      </c>
      <c r="F50" s="1">
        <v>121</v>
      </c>
      <c r="G50" s="1" t="s">
        <v>27</v>
      </c>
      <c r="H50" s="1">
        <v>40</v>
      </c>
      <c r="I50" s="1">
        <v>0.46</v>
      </c>
      <c r="J50" s="53">
        <v>0.22500000000000001</v>
      </c>
      <c r="K50" s="12">
        <f>VLOOKUP(TRIM(A50 &amp; ""), 'planilha crua'!$A$2:$B$10000, 2, FALSE)</f>
        <v>45756</v>
      </c>
      <c r="L50" s="1">
        <f t="shared" si="0"/>
        <v>2</v>
      </c>
    </row>
    <row r="51" spans="1:12" x14ac:dyDescent="0.35">
      <c r="A51" s="1" t="s">
        <v>403</v>
      </c>
      <c r="B51" s="1">
        <v>2</v>
      </c>
      <c r="C51" s="1" t="s">
        <v>25</v>
      </c>
      <c r="D51" s="1" t="s">
        <v>26</v>
      </c>
      <c r="E51" s="1">
        <v>7</v>
      </c>
      <c r="F51" s="1">
        <v>122</v>
      </c>
      <c r="G51" s="1" t="s">
        <v>27</v>
      </c>
      <c r="H51" s="1">
        <v>41</v>
      </c>
      <c r="I51" s="1">
        <v>0.53500000000000003</v>
      </c>
      <c r="J51" s="53">
        <v>0.19800000000000001</v>
      </c>
      <c r="K51" s="12">
        <f>VLOOKUP(TRIM(A51 &amp; ""), 'planilha crua'!$A$2:$B$10000, 2, FALSE)</f>
        <v>45756</v>
      </c>
      <c r="L51" s="1">
        <f t="shared" si="0"/>
        <v>2</v>
      </c>
    </row>
    <row r="52" spans="1:12" x14ac:dyDescent="0.35">
      <c r="A52" s="1" t="s">
        <v>407</v>
      </c>
      <c r="B52" s="1">
        <v>2</v>
      </c>
      <c r="C52" s="1" t="s">
        <v>25</v>
      </c>
      <c r="D52" s="1" t="s">
        <v>26</v>
      </c>
      <c r="E52" s="1">
        <v>6</v>
      </c>
      <c r="F52" s="1">
        <v>123</v>
      </c>
      <c r="G52" s="1" t="s">
        <v>27</v>
      </c>
      <c r="H52" s="1">
        <v>43</v>
      </c>
      <c r="I52" s="1">
        <v>0.55400000000000005</v>
      </c>
      <c r="J52" s="53">
        <v>0.20599999999999999</v>
      </c>
      <c r="K52" s="12">
        <f>VLOOKUP(TRIM(A52 &amp; ""), 'planilha crua'!$A$2:$B$10000, 2, FALSE)</f>
        <v>45756</v>
      </c>
      <c r="L52" s="1">
        <f t="shared" si="0"/>
        <v>2</v>
      </c>
    </row>
    <row r="53" spans="1:12" x14ac:dyDescent="0.35">
      <c r="A53" s="1" t="s">
        <v>410</v>
      </c>
      <c r="B53" s="1">
        <v>2</v>
      </c>
      <c r="C53" s="1" t="s">
        <v>25</v>
      </c>
      <c r="D53" s="1" t="s">
        <v>26</v>
      </c>
      <c r="E53" s="1">
        <v>3</v>
      </c>
      <c r="F53" s="1">
        <v>124</v>
      </c>
      <c r="G53" s="1" t="s">
        <v>27</v>
      </c>
      <c r="H53" s="1">
        <v>44</v>
      </c>
      <c r="I53" s="1">
        <v>0.48</v>
      </c>
      <c r="J53" s="53">
        <v>0.182</v>
      </c>
      <c r="K53" s="12">
        <f>VLOOKUP(TRIM(A53 &amp; ""), 'planilha crua'!$A$2:$B$10000, 2, FALSE)</f>
        <v>45756</v>
      </c>
      <c r="L53" s="1">
        <f t="shared" si="0"/>
        <v>2</v>
      </c>
    </row>
    <row r="54" spans="1:12" x14ac:dyDescent="0.35">
      <c r="A54" s="1" t="s">
        <v>413</v>
      </c>
      <c r="B54" s="1">
        <v>2</v>
      </c>
      <c r="C54" s="1" t="s">
        <v>25</v>
      </c>
      <c r="D54" s="1" t="s">
        <v>26</v>
      </c>
      <c r="E54" s="1">
        <v>3</v>
      </c>
      <c r="F54" s="1">
        <v>125</v>
      </c>
      <c r="G54" s="1" t="s">
        <v>27</v>
      </c>
      <c r="H54" s="1">
        <v>45</v>
      </c>
      <c r="I54" s="1">
        <v>0.49299999999999999</v>
      </c>
      <c r="J54" s="53">
        <v>0.221</v>
      </c>
      <c r="K54" s="12">
        <f>VLOOKUP(TRIM(A54 &amp; ""), 'planilha crua'!$A$2:$B$10000, 2, FALSE)</f>
        <v>45756</v>
      </c>
      <c r="L54" s="1">
        <f t="shared" si="0"/>
        <v>2</v>
      </c>
    </row>
    <row r="55" spans="1:12" x14ac:dyDescent="0.35">
      <c r="A55" s="1" t="s">
        <v>416</v>
      </c>
      <c r="B55" s="1">
        <v>2</v>
      </c>
      <c r="C55" s="1" t="s">
        <v>25</v>
      </c>
      <c r="D55" s="1" t="s">
        <v>26</v>
      </c>
      <c r="E55" s="1">
        <v>3</v>
      </c>
      <c r="F55" s="1">
        <v>126</v>
      </c>
      <c r="G55" s="1" t="s">
        <v>27</v>
      </c>
      <c r="H55" s="1">
        <v>47</v>
      </c>
      <c r="I55" s="1">
        <v>0.47799999999999998</v>
      </c>
      <c r="J55" s="53">
        <v>0.158</v>
      </c>
      <c r="K55" s="12">
        <f>VLOOKUP(TRIM(A55 &amp; ""), 'planilha crua'!$A$2:$B$10000, 2, FALSE)</f>
        <v>45756</v>
      </c>
      <c r="L55" s="1">
        <f t="shared" si="0"/>
        <v>2</v>
      </c>
    </row>
    <row r="56" spans="1:12" x14ac:dyDescent="0.35">
      <c r="A56" s="1" t="s">
        <v>419</v>
      </c>
      <c r="B56" s="1">
        <v>2</v>
      </c>
      <c r="C56" s="1" t="s">
        <v>25</v>
      </c>
      <c r="D56" s="1" t="s">
        <v>26</v>
      </c>
      <c r="E56" s="1">
        <v>3</v>
      </c>
      <c r="F56" s="1">
        <v>127</v>
      </c>
      <c r="G56" s="1" t="s">
        <v>27</v>
      </c>
      <c r="H56" s="1">
        <v>48</v>
      </c>
      <c r="I56" s="1">
        <v>0.47899999999999998</v>
      </c>
      <c r="J56" s="53">
        <v>0.19700000000000001</v>
      </c>
      <c r="K56" s="12">
        <f>VLOOKUP(TRIM(A56 &amp; ""), 'planilha crua'!$A$2:$B$10000, 2, FALSE)</f>
        <v>45756</v>
      </c>
      <c r="L56" s="1">
        <f t="shared" si="0"/>
        <v>2</v>
      </c>
    </row>
    <row r="57" spans="1:12" x14ac:dyDescent="0.35">
      <c r="A57" s="1" t="s">
        <v>424</v>
      </c>
      <c r="B57" s="1">
        <v>2</v>
      </c>
      <c r="C57" s="1" t="s">
        <v>25</v>
      </c>
      <c r="D57" s="1" t="s">
        <v>26</v>
      </c>
      <c r="E57" s="1">
        <v>3</v>
      </c>
      <c r="F57" s="1">
        <v>129</v>
      </c>
      <c r="G57" s="1" t="s">
        <v>27</v>
      </c>
      <c r="H57" s="1">
        <v>49</v>
      </c>
      <c r="I57" s="1">
        <v>0.51300000000000001</v>
      </c>
      <c r="J57" s="53">
        <v>0.17499999999999999</v>
      </c>
      <c r="K57" s="12">
        <f>VLOOKUP(TRIM(A57 &amp; ""), 'planilha crua'!$A$2:$B$10000, 2, FALSE)</f>
        <v>45756</v>
      </c>
      <c r="L57" s="1">
        <f t="shared" si="0"/>
        <v>2</v>
      </c>
    </row>
    <row r="58" spans="1:12" x14ac:dyDescent="0.35">
      <c r="A58" s="1" t="s">
        <v>429</v>
      </c>
      <c r="B58" s="1">
        <v>2</v>
      </c>
      <c r="C58" s="1" t="s">
        <v>25</v>
      </c>
      <c r="D58" s="1" t="s">
        <v>26</v>
      </c>
      <c r="E58" s="1">
        <v>3</v>
      </c>
      <c r="F58" s="1">
        <v>131</v>
      </c>
      <c r="G58" s="1" t="s">
        <v>27</v>
      </c>
      <c r="H58" s="1">
        <v>50</v>
      </c>
      <c r="I58" s="1">
        <v>0.50800000000000001</v>
      </c>
      <c r="J58" s="53">
        <v>0.23</v>
      </c>
      <c r="K58" s="12">
        <f>VLOOKUP(TRIM(A58 &amp; ""), 'planilha crua'!$A$2:$B$10000, 2, FALSE)</f>
        <v>45756</v>
      </c>
      <c r="L58" s="1">
        <f t="shared" si="0"/>
        <v>2</v>
      </c>
    </row>
    <row r="59" spans="1:12" x14ac:dyDescent="0.35">
      <c r="A59" s="1" t="s">
        <v>432</v>
      </c>
      <c r="B59" s="1">
        <v>2</v>
      </c>
      <c r="C59" s="1" t="s">
        <v>25</v>
      </c>
      <c r="D59" s="1" t="s">
        <v>26</v>
      </c>
      <c r="E59" s="1">
        <v>3</v>
      </c>
      <c r="F59" s="1">
        <v>132</v>
      </c>
      <c r="G59" s="1" t="s">
        <v>27</v>
      </c>
      <c r="H59" s="1">
        <v>51</v>
      </c>
      <c r="I59" s="1">
        <v>0.47099999999999997</v>
      </c>
      <c r="J59" s="53">
        <v>0.17699999999999999</v>
      </c>
      <c r="K59" s="12">
        <f>VLOOKUP(TRIM(A59 &amp; ""), 'planilha crua'!$A$2:$B$10000, 2, FALSE)</f>
        <v>45756</v>
      </c>
      <c r="L59" s="1">
        <f t="shared" si="0"/>
        <v>2</v>
      </c>
    </row>
    <row r="60" spans="1:12" x14ac:dyDescent="0.35">
      <c r="A60" s="1" t="s">
        <v>435</v>
      </c>
      <c r="B60" s="1">
        <v>2</v>
      </c>
      <c r="C60" s="1" t="s">
        <v>25</v>
      </c>
      <c r="D60" s="1" t="s">
        <v>26</v>
      </c>
      <c r="E60" s="1">
        <v>1</v>
      </c>
      <c r="F60" s="1">
        <v>133</v>
      </c>
      <c r="G60" s="1" t="s">
        <v>27</v>
      </c>
      <c r="H60" s="1">
        <v>52</v>
      </c>
      <c r="I60" s="1">
        <v>0.47299999999999998</v>
      </c>
      <c r="J60" s="53">
        <v>0.224</v>
      </c>
      <c r="K60" s="12">
        <f>VLOOKUP(TRIM(A60 &amp; ""), 'planilha crua'!$A$2:$B$10000, 2, FALSE)</f>
        <v>45756</v>
      </c>
      <c r="L60" s="1">
        <f t="shared" si="0"/>
        <v>2</v>
      </c>
    </row>
  </sheetData>
  <autoFilter ref="A1:J60" xr:uid="{2F8A93C8-2EFE-4F39-960F-5CDFAD6F9761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5789-4973-49FE-A4E8-9C8B499B484E}">
  <dimension ref="A1:N133"/>
  <sheetViews>
    <sheetView workbookViewId="0">
      <selection activeCell="O8" sqref="O8"/>
    </sheetView>
  </sheetViews>
  <sheetFormatPr defaultRowHeight="14.5" x14ac:dyDescent="0.35"/>
  <cols>
    <col min="1" max="1" width="4.54296875" bestFit="1" customWidth="1"/>
    <col min="2" max="2" width="6" bestFit="1" customWidth="1"/>
    <col min="3" max="3" width="4.6328125" bestFit="1" customWidth="1"/>
    <col min="4" max="4" width="7.36328125" bestFit="1" customWidth="1"/>
    <col min="5" max="5" width="5.08984375" bestFit="1" customWidth="1"/>
    <col min="6" max="6" width="5.453125" bestFit="1" customWidth="1"/>
    <col min="7" max="7" width="13.6328125" bestFit="1" customWidth="1"/>
    <col min="8" max="8" width="5.453125" bestFit="1" customWidth="1"/>
    <col min="9" max="9" width="16.08984375" bestFit="1" customWidth="1"/>
    <col min="10" max="11" width="8.90625" style="1"/>
  </cols>
  <sheetData>
    <row r="1" spans="1:14" x14ac:dyDescent="0.35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474</v>
      </c>
      <c r="J1" s="1" t="s">
        <v>472</v>
      </c>
      <c r="K1" s="1" t="s">
        <v>471</v>
      </c>
      <c r="L1" s="1" t="s">
        <v>497</v>
      </c>
      <c r="M1" s="1" t="s">
        <v>1</v>
      </c>
      <c r="N1" s="1" t="s">
        <v>499</v>
      </c>
    </row>
    <row r="2" spans="1:14" x14ac:dyDescent="0.35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>
        <v>13</v>
      </c>
      <c r="I2" s="1">
        <v>0.59299999999999997</v>
      </c>
      <c r="J2" s="1">
        <v>2</v>
      </c>
      <c r="K2" s="1" t="s">
        <v>27</v>
      </c>
      <c r="L2" s="1">
        <f>J2-1</f>
        <v>1</v>
      </c>
      <c r="M2" s="12">
        <f>VLOOKUP(TRIM(A2 &amp; ""), 'planilha crua'!$A$2:$B$10000, 2, FALSE)</f>
        <v>45401</v>
      </c>
      <c r="N2" s="1">
        <f>INT((DATE(2000, MONTH(M2), DAY(M2)) - DATE(2000, 3, 12)) / 15) + 1</f>
        <v>3</v>
      </c>
    </row>
    <row r="3" spans="1:14" x14ac:dyDescent="0.35">
      <c r="A3" s="1" t="s">
        <v>35</v>
      </c>
      <c r="B3" s="6">
        <v>1</v>
      </c>
      <c r="C3" s="1" t="s">
        <v>25</v>
      </c>
      <c r="D3" s="1" t="s">
        <v>26</v>
      </c>
      <c r="E3" s="1">
        <v>1</v>
      </c>
      <c r="F3" s="1">
        <v>2</v>
      </c>
      <c r="G3" s="1" t="s">
        <v>27</v>
      </c>
      <c r="H3" s="1">
        <v>14</v>
      </c>
      <c r="I3" s="1">
        <v>0.60599999999999998</v>
      </c>
      <c r="J3" s="1">
        <v>1</v>
      </c>
      <c r="K3" s="1" t="s">
        <v>473</v>
      </c>
      <c r="L3" s="1">
        <f t="shared" ref="L3:L66" si="0">J3-1</f>
        <v>0</v>
      </c>
      <c r="M3" s="12">
        <f>VLOOKUP(TRIM(A3 &amp; ""), 'planilha crua'!$A$2:$B$10000, 2, FALSE)</f>
        <v>45401</v>
      </c>
      <c r="N3" s="1">
        <f t="shared" ref="N3:N66" si="1">INT((DATE(2000, MONTH(M3), DAY(M3)) - DATE(2000, 3, 12)) / 15) + 1</f>
        <v>3</v>
      </c>
    </row>
    <row r="4" spans="1:14" x14ac:dyDescent="0.35">
      <c r="A4" s="1" t="s">
        <v>40</v>
      </c>
      <c r="B4" s="6">
        <v>1</v>
      </c>
      <c r="C4" s="1" t="s">
        <v>25</v>
      </c>
      <c r="D4" s="1" t="s">
        <v>26</v>
      </c>
      <c r="E4" s="1">
        <v>1</v>
      </c>
      <c r="F4" s="1">
        <v>3</v>
      </c>
      <c r="G4" s="1" t="s">
        <v>38</v>
      </c>
      <c r="H4" s="1">
        <v>1</v>
      </c>
      <c r="I4" s="1">
        <v>0.49299999999999999</v>
      </c>
      <c r="J4" s="1">
        <v>2</v>
      </c>
      <c r="K4" s="1" t="s">
        <v>27</v>
      </c>
      <c r="L4" s="1">
        <f t="shared" si="0"/>
        <v>1</v>
      </c>
      <c r="M4" s="12">
        <f>VLOOKUP(TRIM(A4 &amp; ""), 'planilha crua'!$A$2:$B$10000, 2, FALSE)</f>
        <v>45401</v>
      </c>
      <c r="N4" s="1">
        <f t="shared" si="1"/>
        <v>3</v>
      </c>
    </row>
    <row r="5" spans="1:14" x14ac:dyDescent="0.35">
      <c r="A5" s="1" t="s">
        <v>42</v>
      </c>
      <c r="B5" s="6">
        <v>1</v>
      </c>
      <c r="C5" s="1" t="s">
        <v>25</v>
      </c>
      <c r="D5" s="1" t="s">
        <v>26</v>
      </c>
      <c r="E5" s="1">
        <v>1</v>
      </c>
      <c r="F5" s="1">
        <v>4</v>
      </c>
      <c r="G5" s="1" t="s">
        <v>38</v>
      </c>
      <c r="H5" s="1">
        <v>1</v>
      </c>
      <c r="I5" s="1">
        <v>0.51700000000000002</v>
      </c>
      <c r="J5" s="1">
        <v>1</v>
      </c>
      <c r="K5" s="1" t="s">
        <v>473</v>
      </c>
      <c r="L5" s="1">
        <f t="shared" si="0"/>
        <v>0</v>
      </c>
      <c r="M5" s="12">
        <f>VLOOKUP(TRIM(A5 &amp; ""), 'planilha crua'!$A$2:$B$10000, 2, FALSE)</f>
        <v>45401</v>
      </c>
      <c r="N5" s="1">
        <f t="shared" si="1"/>
        <v>3</v>
      </c>
    </row>
    <row r="6" spans="1:14" x14ac:dyDescent="0.35">
      <c r="A6" s="1" t="s">
        <v>44</v>
      </c>
      <c r="B6" s="6">
        <v>1</v>
      </c>
      <c r="C6" s="1" t="s">
        <v>25</v>
      </c>
      <c r="D6" s="1" t="s">
        <v>26</v>
      </c>
      <c r="E6" s="1">
        <v>1</v>
      </c>
      <c r="F6" s="1">
        <v>5</v>
      </c>
      <c r="G6" s="1" t="s">
        <v>38</v>
      </c>
      <c r="H6" s="1">
        <v>1</v>
      </c>
      <c r="I6" s="1">
        <v>0.65</v>
      </c>
      <c r="J6" s="1">
        <v>1</v>
      </c>
      <c r="K6" s="1" t="s">
        <v>473</v>
      </c>
      <c r="L6" s="1">
        <f t="shared" si="0"/>
        <v>0</v>
      </c>
      <c r="M6" s="12">
        <f>VLOOKUP(TRIM(A6 &amp; ""), 'planilha crua'!$A$2:$B$10000, 2, FALSE)</f>
        <v>45401</v>
      </c>
      <c r="N6" s="1">
        <f t="shared" si="1"/>
        <v>3</v>
      </c>
    </row>
    <row r="7" spans="1:14" x14ac:dyDescent="0.35">
      <c r="A7" s="1" t="s">
        <v>46</v>
      </c>
      <c r="B7" s="6">
        <v>1</v>
      </c>
      <c r="C7" s="1" t="s">
        <v>25</v>
      </c>
      <c r="D7" s="1" t="s">
        <v>26</v>
      </c>
      <c r="E7" s="1">
        <v>1</v>
      </c>
      <c r="F7" s="1">
        <v>6</v>
      </c>
      <c r="G7" s="1" t="s">
        <v>38</v>
      </c>
      <c r="H7" s="1">
        <v>1</v>
      </c>
      <c r="I7" s="1">
        <v>0.44500000000000001</v>
      </c>
      <c r="J7" s="1">
        <v>1</v>
      </c>
      <c r="K7" s="1" t="s">
        <v>473</v>
      </c>
      <c r="L7" s="1">
        <f t="shared" si="0"/>
        <v>0</v>
      </c>
      <c r="M7" s="12">
        <f>VLOOKUP(TRIM(A7 &amp; ""), 'planilha crua'!$A$2:$B$10000, 2, FALSE)</f>
        <v>45401</v>
      </c>
      <c r="N7" s="1">
        <f t="shared" si="1"/>
        <v>3</v>
      </c>
    </row>
    <row r="8" spans="1:14" x14ac:dyDescent="0.35">
      <c r="A8" s="1" t="s">
        <v>49</v>
      </c>
      <c r="B8" s="6">
        <v>1</v>
      </c>
      <c r="C8" s="1" t="s">
        <v>25</v>
      </c>
      <c r="D8" s="1" t="s">
        <v>26</v>
      </c>
      <c r="E8" s="1">
        <v>1</v>
      </c>
      <c r="F8" s="1">
        <v>7</v>
      </c>
      <c r="G8" s="1" t="s">
        <v>38</v>
      </c>
      <c r="H8" s="1">
        <v>1</v>
      </c>
      <c r="I8" s="1">
        <v>0.58899999999999997</v>
      </c>
      <c r="J8" s="1">
        <v>1</v>
      </c>
      <c r="K8" s="1" t="s">
        <v>473</v>
      </c>
      <c r="L8" s="1">
        <f t="shared" si="0"/>
        <v>0</v>
      </c>
      <c r="M8" s="12">
        <f>VLOOKUP(TRIM(A8 &amp; ""), 'planilha crua'!$A$2:$B$10000, 2, FALSE)</f>
        <v>45401</v>
      </c>
      <c r="N8" s="1">
        <f t="shared" si="1"/>
        <v>3</v>
      </c>
    </row>
    <row r="9" spans="1:14" x14ac:dyDescent="0.35">
      <c r="A9" s="1" t="s">
        <v>51</v>
      </c>
      <c r="B9" s="6">
        <v>1</v>
      </c>
      <c r="C9" s="1" t="s">
        <v>25</v>
      </c>
      <c r="D9" s="1" t="s">
        <v>26</v>
      </c>
      <c r="E9" s="1">
        <v>1</v>
      </c>
      <c r="F9" s="1">
        <v>8</v>
      </c>
      <c r="G9" s="1" t="s">
        <v>38</v>
      </c>
      <c r="H9" s="1">
        <v>1</v>
      </c>
      <c r="I9" s="1">
        <v>0.64100000000000001</v>
      </c>
      <c r="J9" s="1">
        <v>1</v>
      </c>
      <c r="K9" s="1" t="s">
        <v>473</v>
      </c>
      <c r="L9" s="1">
        <f t="shared" si="0"/>
        <v>0</v>
      </c>
      <c r="M9" s="12">
        <f>VLOOKUP(TRIM(A9 &amp; ""), 'planilha crua'!$A$2:$B$10000, 2, FALSE)</f>
        <v>45401</v>
      </c>
      <c r="N9" s="1">
        <f t="shared" si="1"/>
        <v>3</v>
      </c>
    </row>
    <row r="10" spans="1:14" x14ac:dyDescent="0.35">
      <c r="A10" s="1" t="s">
        <v>53</v>
      </c>
      <c r="B10" s="6">
        <v>1</v>
      </c>
      <c r="C10" s="1" t="s">
        <v>25</v>
      </c>
      <c r="D10" s="1" t="s">
        <v>26</v>
      </c>
      <c r="E10" s="1">
        <v>1</v>
      </c>
      <c r="F10" s="1">
        <v>9</v>
      </c>
      <c r="G10" s="1" t="s">
        <v>27</v>
      </c>
      <c r="H10" s="1">
        <v>15</v>
      </c>
      <c r="I10" s="1">
        <v>0.495</v>
      </c>
      <c r="J10" s="1">
        <v>1</v>
      </c>
      <c r="K10" s="1" t="s">
        <v>473</v>
      </c>
      <c r="L10" s="1">
        <f t="shared" si="0"/>
        <v>0</v>
      </c>
      <c r="M10" s="12">
        <f>VLOOKUP(TRIM(A10 &amp; ""), 'planilha crua'!$A$2:$B$10000, 2, FALSE)</f>
        <v>45401</v>
      </c>
      <c r="N10" s="1">
        <f t="shared" si="1"/>
        <v>3</v>
      </c>
    </row>
    <row r="11" spans="1:14" x14ac:dyDescent="0.35">
      <c r="A11" s="1" t="s">
        <v>62</v>
      </c>
      <c r="B11" s="6">
        <v>1</v>
      </c>
      <c r="C11" s="1" t="s">
        <v>25</v>
      </c>
      <c r="D11" s="1" t="s">
        <v>26</v>
      </c>
      <c r="E11" s="1">
        <v>1</v>
      </c>
      <c r="F11" s="1">
        <v>10</v>
      </c>
      <c r="G11" s="1" t="s">
        <v>27</v>
      </c>
      <c r="H11" s="1">
        <v>16</v>
      </c>
      <c r="I11" s="1">
        <v>0.54500000000000004</v>
      </c>
      <c r="J11" s="1">
        <v>2</v>
      </c>
      <c r="K11" s="1" t="s">
        <v>27</v>
      </c>
      <c r="L11" s="1">
        <f t="shared" si="0"/>
        <v>1</v>
      </c>
      <c r="M11" s="12">
        <f>VLOOKUP(TRIM(A11 &amp; ""), 'planilha crua'!$A$2:$B$10000, 2, FALSE)</f>
        <v>45401</v>
      </c>
      <c r="N11" s="1">
        <f t="shared" si="1"/>
        <v>3</v>
      </c>
    </row>
    <row r="12" spans="1:14" x14ac:dyDescent="0.35">
      <c r="A12" s="1" t="s">
        <v>66</v>
      </c>
      <c r="B12" s="6">
        <v>1</v>
      </c>
      <c r="C12" s="1" t="s">
        <v>25</v>
      </c>
      <c r="D12" s="1" t="s">
        <v>26</v>
      </c>
      <c r="E12" s="1">
        <v>1</v>
      </c>
      <c r="F12" s="1">
        <v>11</v>
      </c>
      <c r="G12" s="1" t="s">
        <v>27</v>
      </c>
      <c r="H12" s="1">
        <v>17</v>
      </c>
      <c r="I12" s="1">
        <v>0.60699999999999998</v>
      </c>
      <c r="J12" s="1">
        <v>2</v>
      </c>
      <c r="K12" s="1" t="s">
        <v>27</v>
      </c>
      <c r="L12" s="1">
        <f t="shared" si="0"/>
        <v>1</v>
      </c>
      <c r="M12" s="12">
        <f>VLOOKUP(TRIM(A12 &amp; ""), 'planilha crua'!$A$2:$B$10000, 2, FALSE)</f>
        <v>45401</v>
      </c>
      <c r="N12" s="1">
        <f t="shared" si="1"/>
        <v>3</v>
      </c>
    </row>
    <row r="13" spans="1:14" x14ac:dyDescent="0.35">
      <c r="A13" s="1" t="s">
        <v>70</v>
      </c>
      <c r="B13" s="6">
        <v>1</v>
      </c>
      <c r="C13" s="1" t="s">
        <v>25</v>
      </c>
      <c r="D13" s="1" t="s">
        <v>26</v>
      </c>
      <c r="E13" s="1">
        <v>1</v>
      </c>
      <c r="F13" s="1">
        <v>12</v>
      </c>
      <c r="G13" s="1" t="s">
        <v>27</v>
      </c>
      <c r="H13" s="1">
        <v>18</v>
      </c>
      <c r="I13" s="1">
        <v>0.57899999999999996</v>
      </c>
      <c r="J13" s="1">
        <v>2</v>
      </c>
      <c r="K13" s="1" t="s">
        <v>27</v>
      </c>
      <c r="L13" s="1">
        <f t="shared" si="0"/>
        <v>1</v>
      </c>
      <c r="M13" s="12">
        <f>VLOOKUP(TRIM(A13 &amp; ""), 'planilha crua'!$A$2:$B$10000, 2, FALSE)</f>
        <v>45401</v>
      </c>
      <c r="N13" s="1">
        <f t="shared" si="1"/>
        <v>3</v>
      </c>
    </row>
    <row r="14" spans="1:14" x14ac:dyDescent="0.35">
      <c r="A14" s="1" t="s">
        <v>74</v>
      </c>
      <c r="B14" s="6">
        <v>1</v>
      </c>
      <c r="C14" s="1" t="s">
        <v>25</v>
      </c>
      <c r="D14" s="1" t="s">
        <v>26</v>
      </c>
      <c r="E14" s="1">
        <v>1</v>
      </c>
      <c r="F14" s="1">
        <v>13</v>
      </c>
      <c r="G14" s="1" t="s">
        <v>27</v>
      </c>
      <c r="H14" s="1">
        <v>19</v>
      </c>
      <c r="I14" s="1">
        <v>0.58699999999999997</v>
      </c>
      <c r="J14" s="1">
        <v>2</v>
      </c>
      <c r="K14" s="1" t="s">
        <v>27</v>
      </c>
      <c r="L14" s="1">
        <f t="shared" si="0"/>
        <v>1</v>
      </c>
      <c r="M14" s="12">
        <f>VLOOKUP(TRIM(A14 &amp; ""), 'planilha crua'!$A$2:$B$10000, 2, FALSE)</f>
        <v>45401</v>
      </c>
      <c r="N14" s="1">
        <f t="shared" si="1"/>
        <v>3</v>
      </c>
    </row>
    <row r="15" spans="1:14" x14ac:dyDescent="0.35">
      <c r="A15" s="1" t="s">
        <v>77</v>
      </c>
      <c r="B15" s="6">
        <v>1</v>
      </c>
      <c r="C15" s="1" t="s">
        <v>25</v>
      </c>
      <c r="D15" s="1" t="s">
        <v>26</v>
      </c>
      <c r="E15" s="1">
        <v>2</v>
      </c>
      <c r="F15" s="1">
        <v>14</v>
      </c>
      <c r="G15" s="1" t="s">
        <v>27</v>
      </c>
      <c r="H15" s="1">
        <v>20</v>
      </c>
      <c r="I15" s="1">
        <v>0.52600000000000002</v>
      </c>
      <c r="J15" s="1">
        <v>2</v>
      </c>
      <c r="K15" s="1" t="s">
        <v>27</v>
      </c>
      <c r="L15" s="1">
        <f t="shared" si="0"/>
        <v>1</v>
      </c>
      <c r="M15" s="12">
        <f>VLOOKUP(TRIM(A15 &amp; ""), 'planilha crua'!$A$2:$B$10000, 2, FALSE)</f>
        <v>45401</v>
      </c>
      <c r="N15" s="1">
        <f t="shared" si="1"/>
        <v>3</v>
      </c>
    </row>
    <row r="16" spans="1:14" x14ac:dyDescent="0.35">
      <c r="A16" s="1" t="s">
        <v>80</v>
      </c>
      <c r="B16" s="6">
        <v>1</v>
      </c>
      <c r="C16" s="1" t="s">
        <v>25</v>
      </c>
      <c r="D16" s="1" t="s">
        <v>26</v>
      </c>
      <c r="E16" s="1">
        <v>2</v>
      </c>
      <c r="F16" s="1">
        <v>15</v>
      </c>
      <c r="G16" s="1" t="s">
        <v>27</v>
      </c>
      <c r="H16" s="1">
        <v>21</v>
      </c>
      <c r="I16" s="1">
        <v>0.55400000000000005</v>
      </c>
      <c r="J16" s="1">
        <v>1</v>
      </c>
      <c r="K16" s="1" t="s">
        <v>473</v>
      </c>
      <c r="L16" s="1">
        <f t="shared" si="0"/>
        <v>0</v>
      </c>
      <c r="M16" s="12">
        <f>VLOOKUP(TRIM(A16 &amp; ""), 'planilha crua'!$A$2:$B$10000, 2, FALSE)</f>
        <v>45401</v>
      </c>
      <c r="N16" s="1">
        <f t="shared" si="1"/>
        <v>3</v>
      </c>
    </row>
    <row r="17" spans="1:14" x14ac:dyDescent="0.35">
      <c r="A17" s="1" t="s">
        <v>83</v>
      </c>
      <c r="B17" s="6">
        <v>1</v>
      </c>
      <c r="C17" s="1" t="s">
        <v>25</v>
      </c>
      <c r="D17" s="1" t="s">
        <v>26</v>
      </c>
      <c r="E17" s="1">
        <v>2</v>
      </c>
      <c r="F17" s="1">
        <v>16</v>
      </c>
      <c r="G17" s="1" t="s">
        <v>27</v>
      </c>
      <c r="H17" s="1">
        <v>22</v>
      </c>
      <c r="I17" s="1">
        <v>0.53200000000000003</v>
      </c>
      <c r="J17" s="1">
        <v>1</v>
      </c>
      <c r="K17" s="1" t="s">
        <v>473</v>
      </c>
      <c r="L17" s="1">
        <f t="shared" si="0"/>
        <v>0</v>
      </c>
      <c r="M17" s="12">
        <f>VLOOKUP(TRIM(A17 &amp; ""), 'planilha crua'!$A$2:$B$10000, 2, FALSE)</f>
        <v>45401</v>
      </c>
      <c r="N17" s="1">
        <f t="shared" si="1"/>
        <v>3</v>
      </c>
    </row>
    <row r="18" spans="1:14" x14ac:dyDescent="0.35">
      <c r="A18" s="1" t="s">
        <v>85</v>
      </c>
      <c r="B18" s="6">
        <v>1</v>
      </c>
      <c r="C18" s="1" t="s">
        <v>25</v>
      </c>
      <c r="D18" s="1" t="s">
        <v>26</v>
      </c>
      <c r="E18" s="1">
        <v>3</v>
      </c>
      <c r="F18" s="1">
        <v>17</v>
      </c>
      <c r="G18" s="1" t="s">
        <v>38</v>
      </c>
      <c r="H18" s="1">
        <v>2</v>
      </c>
      <c r="I18" s="1">
        <v>0.48399999999999999</v>
      </c>
      <c r="J18" s="1">
        <v>1</v>
      </c>
      <c r="K18" s="1" t="s">
        <v>473</v>
      </c>
      <c r="L18" s="1">
        <f t="shared" si="0"/>
        <v>0</v>
      </c>
      <c r="M18" s="12">
        <f>VLOOKUP(TRIM(A18 &amp; ""), 'planilha crua'!$A$2:$B$10000, 2, FALSE)</f>
        <v>45401</v>
      </c>
      <c r="N18" s="1">
        <f t="shared" si="1"/>
        <v>3</v>
      </c>
    </row>
    <row r="19" spans="1:14" x14ac:dyDescent="0.35">
      <c r="A19" s="1" t="s">
        <v>87</v>
      </c>
      <c r="B19" s="6">
        <v>1</v>
      </c>
      <c r="C19" s="1" t="s">
        <v>25</v>
      </c>
      <c r="D19" s="1" t="s">
        <v>26</v>
      </c>
      <c r="E19" s="1">
        <v>3</v>
      </c>
      <c r="F19" s="1">
        <v>18</v>
      </c>
      <c r="G19" s="1" t="s">
        <v>38</v>
      </c>
      <c r="H19" s="1">
        <v>2</v>
      </c>
      <c r="I19" s="1">
        <v>0.38600000000000001</v>
      </c>
      <c r="J19" s="1">
        <v>1</v>
      </c>
      <c r="K19" s="1" t="s">
        <v>473</v>
      </c>
      <c r="L19" s="1">
        <f t="shared" si="0"/>
        <v>0</v>
      </c>
      <c r="M19" s="12">
        <f>VLOOKUP(TRIM(A19 &amp; ""), 'planilha crua'!$A$2:$B$10000, 2, FALSE)</f>
        <v>45401</v>
      </c>
      <c r="N19" s="1">
        <f t="shared" si="1"/>
        <v>3</v>
      </c>
    </row>
    <row r="20" spans="1:14" x14ac:dyDescent="0.35">
      <c r="A20" s="1" t="s">
        <v>90</v>
      </c>
      <c r="B20" s="6">
        <v>1</v>
      </c>
      <c r="C20" s="1" t="s">
        <v>25</v>
      </c>
      <c r="D20" s="1" t="s">
        <v>26</v>
      </c>
      <c r="E20" s="1">
        <v>3</v>
      </c>
      <c r="F20" s="1">
        <v>19</v>
      </c>
      <c r="G20" s="1" t="s">
        <v>38</v>
      </c>
      <c r="H20" s="1">
        <v>2</v>
      </c>
      <c r="I20" s="1">
        <v>0.55900000000000005</v>
      </c>
      <c r="J20" s="1">
        <v>2</v>
      </c>
      <c r="K20" s="1" t="s">
        <v>27</v>
      </c>
      <c r="L20" s="1">
        <f t="shared" si="0"/>
        <v>1</v>
      </c>
      <c r="M20" s="12">
        <f>VLOOKUP(TRIM(A20 &amp; ""), 'planilha crua'!$A$2:$B$10000, 2, FALSE)</f>
        <v>45401</v>
      </c>
      <c r="N20" s="1">
        <f t="shared" si="1"/>
        <v>3</v>
      </c>
    </row>
    <row r="21" spans="1:14" x14ac:dyDescent="0.35">
      <c r="A21" s="1" t="s">
        <v>93</v>
      </c>
      <c r="B21" s="6">
        <v>1</v>
      </c>
      <c r="C21" s="1" t="s">
        <v>25</v>
      </c>
      <c r="D21" s="1" t="s">
        <v>26</v>
      </c>
      <c r="E21" s="1">
        <v>3</v>
      </c>
      <c r="F21" s="1">
        <v>20</v>
      </c>
      <c r="G21" s="1" t="s">
        <v>38</v>
      </c>
      <c r="H21" s="1">
        <v>2</v>
      </c>
      <c r="I21" s="1">
        <v>0.57899999999999996</v>
      </c>
      <c r="J21" s="1">
        <v>2</v>
      </c>
      <c r="K21" s="1" t="s">
        <v>27</v>
      </c>
      <c r="L21" s="1">
        <f t="shared" si="0"/>
        <v>1</v>
      </c>
      <c r="M21" s="12">
        <f>VLOOKUP(TRIM(A21 &amp; ""), 'planilha crua'!$A$2:$B$10000, 2, FALSE)</f>
        <v>45401</v>
      </c>
      <c r="N21" s="1">
        <f t="shared" si="1"/>
        <v>3</v>
      </c>
    </row>
    <row r="22" spans="1:14" x14ac:dyDescent="0.35">
      <c r="A22" s="1" t="s">
        <v>95</v>
      </c>
      <c r="B22" s="6">
        <v>1</v>
      </c>
      <c r="C22" s="1" t="s">
        <v>25</v>
      </c>
      <c r="D22" s="1" t="s">
        <v>26</v>
      </c>
      <c r="E22" s="1">
        <v>3</v>
      </c>
      <c r="F22" s="1">
        <v>21</v>
      </c>
      <c r="G22" s="1" t="s">
        <v>38</v>
      </c>
      <c r="H22" s="1">
        <v>2</v>
      </c>
      <c r="I22" s="1">
        <v>0.495</v>
      </c>
      <c r="J22" s="1">
        <v>1</v>
      </c>
      <c r="K22" s="1" t="s">
        <v>473</v>
      </c>
      <c r="L22" s="1">
        <f t="shared" si="0"/>
        <v>0</v>
      </c>
      <c r="M22" s="12">
        <f>VLOOKUP(TRIM(A22 &amp; ""), 'planilha crua'!$A$2:$B$10000, 2, FALSE)</f>
        <v>45401</v>
      </c>
      <c r="N22" s="1">
        <f t="shared" si="1"/>
        <v>3</v>
      </c>
    </row>
    <row r="23" spans="1:14" x14ac:dyDescent="0.35">
      <c r="A23" s="1" t="s">
        <v>97</v>
      </c>
      <c r="B23" s="6">
        <v>1</v>
      </c>
      <c r="C23" s="1" t="s">
        <v>25</v>
      </c>
      <c r="D23" s="1" t="s">
        <v>26</v>
      </c>
      <c r="E23" s="1">
        <v>3</v>
      </c>
      <c r="F23" s="1">
        <v>22</v>
      </c>
      <c r="G23" s="1" t="s">
        <v>38</v>
      </c>
      <c r="H23" s="1">
        <v>2</v>
      </c>
      <c r="I23" s="1">
        <v>0.502</v>
      </c>
      <c r="J23" s="1">
        <v>1</v>
      </c>
      <c r="K23" s="1" t="s">
        <v>473</v>
      </c>
      <c r="L23" s="1">
        <f t="shared" si="0"/>
        <v>0</v>
      </c>
      <c r="M23" s="12">
        <f>VLOOKUP(TRIM(A23 &amp; ""), 'planilha crua'!$A$2:$B$10000, 2, FALSE)</f>
        <v>45401</v>
      </c>
      <c r="N23" s="1">
        <f t="shared" si="1"/>
        <v>3</v>
      </c>
    </row>
    <row r="24" spans="1:14" x14ac:dyDescent="0.35">
      <c r="A24" s="1" t="s">
        <v>100</v>
      </c>
      <c r="B24" s="6">
        <v>1</v>
      </c>
      <c r="C24" s="1" t="s">
        <v>25</v>
      </c>
      <c r="D24" s="1" t="s">
        <v>26</v>
      </c>
      <c r="E24" s="1">
        <v>3</v>
      </c>
      <c r="F24" s="1">
        <v>23</v>
      </c>
      <c r="G24" s="1" t="s">
        <v>38</v>
      </c>
      <c r="H24" s="1">
        <v>2</v>
      </c>
      <c r="I24" s="1">
        <v>0.58799999999999997</v>
      </c>
      <c r="J24" s="1">
        <v>1</v>
      </c>
      <c r="K24" s="1" t="s">
        <v>473</v>
      </c>
      <c r="L24" s="1">
        <f t="shared" si="0"/>
        <v>0</v>
      </c>
      <c r="M24" s="12">
        <f>VLOOKUP(TRIM(A24 &amp; ""), 'planilha crua'!$A$2:$B$10000, 2, FALSE)</f>
        <v>45401</v>
      </c>
      <c r="N24" s="1">
        <f t="shared" si="1"/>
        <v>3</v>
      </c>
    </row>
    <row r="25" spans="1:14" x14ac:dyDescent="0.35">
      <c r="A25" s="1" t="s">
        <v>103</v>
      </c>
      <c r="B25" s="6">
        <v>1</v>
      </c>
      <c r="C25" s="1" t="s">
        <v>25</v>
      </c>
      <c r="D25" s="1" t="s">
        <v>26</v>
      </c>
      <c r="E25" s="1">
        <v>3</v>
      </c>
      <c r="F25" s="1">
        <v>24</v>
      </c>
      <c r="G25" s="1" t="s">
        <v>38</v>
      </c>
      <c r="H25" s="1">
        <v>2</v>
      </c>
      <c r="I25" s="1">
        <v>0.51300000000000001</v>
      </c>
      <c r="J25" s="1">
        <v>1</v>
      </c>
      <c r="K25" s="1" t="s">
        <v>473</v>
      </c>
      <c r="L25" s="1">
        <f t="shared" si="0"/>
        <v>0</v>
      </c>
      <c r="M25" s="12">
        <f>VLOOKUP(TRIM(A25 &amp; ""), 'planilha crua'!$A$2:$B$10000, 2, FALSE)</f>
        <v>45401</v>
      </c>
      <c r="N25" s="1">
        <f t="shared" si="1"/>
        <v>3</v>
      </c>
    </row>
    <row r="26" spans="1:14" x14ac:dyDescent="0.35">
      <c r="A26" s="1" t="s">
        <v>105</v>
      </c>
      <c r="B26" s="6">
        <v>1</v>
      </c>
      <c r="C26" s="1" t="s">
        <v>25</v>
      </c>
      <c r="D26" s="1" t="s">
        <v>26</v>
      </c>
      <c r="E26" s="1">
        <v>3</v>
      </c>
      <c r="F26" s="1">
        <v>25</v>
      </c>
      <c r="G26" s="1" t="s">
        <v>38</v>
      </c>
      <c r="H26" s="1">
        <v>2</v>
      </c>
      <c r="I26" s="1">
        <v>0.58499999999999996</v>
      </c>
      <c r="J26" s="1">
        <v>1</v>
      </c>
      <c r="K26" s="1" t="s">
        <v>473</v>
      </c>
      <c r="L26" s="1">
        <f t="shared" si="0"/>
        <v>0</v>
      </c>
      <c r="M26" s="12">
        <f>VLOOKUP(TRIM(A26 &amp; ""), 'planilha crua'!$A$2:$B$10000, 2, FALSE)</f>
        <v>45401</v>
      </c>
      <c r="N26" s="1">
        <f t="shared" si="1"/>
        <v>3</v>
      </c>
    </row>
    <row r="27" spans="1:14" x14ac:dyDescent="0.35">
      <c r="A27" s="1" t="s">
        <v>107</v>
      </c>
      <c r="B27" s="6">
        <v>1</v>
      </c>
      <c r="C27" s="1" t="s">
        <v>25</v>
      </c>
      <c r="D27" s="1" t="s">
        <v>26</v>
      </c>
      <c r="E27" s="1">
        <v>3</v>
      </c>
      <c r="F27" s="1">
        <v>26</v>
      </c>
      <c r="G27" s="1" t="s">
        <v>38</v>
      </c>
      <c r="H27" s="1">
        <v>2</v>
      </c>
      <c r="I27" s="1">
        <v>0.47899999999999998</v>
      </c>
      <c r="J27" s="1">
        <v>1</v>
      </c>
      <c r="K27" s="1" t="s">
        <v>473</v>
      </c>
      <c r="L27" s="1">
        <f t="shared" si="0"/>
        <v>0</v>
      </c>
      <c r="M27" s="12">
        <f>VLOOKUP(TRIM(A27 &amp; ""), 'planilha crua'!$A$2:$B$10000, 2, FALSE)</f>
        <v>45401</v>
      </c>
      <c r="N27" s="1">
        <f t="shared" si="1"/>
        <v>3</v>
      </c>
    </row>
    <row r="28" spans="1:14" x14ac:dyDescent="0.35">
      <c r="A28" s="1" t="s">
        <v>109</v>
      </c>
      <c r="B28" s="6">
        <v>1</v>
      </c>
      <c r="C28" s="1" t="s">
        <v>25</v>
      </c>
      <c r="D28" s="1" t="s">
        <v>26</v>
      </c>
      <c r="E28" s="1">
        <v>3</v>
      </c>
      <c r="F28" s="1">
        <v>27</v>
      </c>
      <c r="G28" s="1" t="s">
        <v>38</v>
      </c>
      <c r="H28" s="1">
        <v>2</v>
      </c>
      <c r="I28" s="1">
        <v>0.59099999999999997</v>
      </c>
      <c r="J28" s="1">
        <v>1</v>
      </c>
      <c r="K28" s="1" t="s">
        <v>473</v>
      </c>
      <c r="L28" s="1">
        <f t="shared" si="0"/>
        <v>0</v>
      </c>
      <c r="M28" s="12">
        <f>VLOOKUP(TRIM(A28 &amp; ""), 'planilha crua'!$A$2:$B$10000, 2, FALSE)</f>
        <v>45401</v>
      </c>
      <c r="N28" s="1">
        <f t="shared" si="1"/>
        <v>3</v>
      </c>
    </row>
    <row r="29" spans="1:14" x14ac:dyDescent="0.35">
      <c r="A29" s="1" t="s">
        <v>111</v>
      </c>
      <c r="B29" s="6">
        <v>1</v>
      </c>
      <c r="C29" s="1" t="s">
        <v>25</v>
      </c>
      <c r="D29" s="1" t="s">
        <v>26</v>
      </c>
      <c r="E29" s="1">
        <v>3</v>
      </c>
      <c r="F29" s="1">
        <v>28</v>
      </c>
      <c r="G29" s="1" t="s">
        <v>38</v>
      </c>
      <c r="H29" s="1">
        <v>2</v>
      </c>
      <c r="I29" s="1">
        <v>0.49199999999999999</v>
      </c>
      <c r="J29" s="1">
        <v>1</v>
      </c>
      <c r="K29" s="1" t="s">
        <v>473</v>
      </c>
      <c r="L29" s="1">
        <f t="shared" si="0"/>
        <v>0</v>
      </c>
      <c r="M29" s="12">
        <f>VLOOKUP(TRIM(A29 &amp; ""), 'planilha crua'!$A$2:$B$10000, 2, FALSE)</f>
        <v>45401</v>
      </c>
      <c r="N29" s="1">
        <f t="shared" si="1"/>
        <v>3</v>
      </c>
    </row>
    <row r="30" spans="1:14" x14ac:dyDescent="0.35">
      <c r="A30" s="1" t="s">
        <v>113</v>
      </c>
      <c r="B30" s="6">
        <v>1</v>
      </c>
      <c r="C30" s="1" t="s">
        <v>25</v>
      </c>
      <c r="D30" s="1" t="s">
        <v>26</v>
      </c>
      <c r="E30" s="1">
        <v>3</v>
      </c>
      <c r="F30" s="1">
        <v>29</v>
      </c>
      <c r="G30" s="1" t="s">
        <v>38</v>
      </c>
      <c r="H30" s="1">
        <v>2</v>
      </c>
      <c r="I30" s="1">
        <v>0.46400000000000002</v>
      </c>
      <c r="J30" s="1">
        <v>1</v>
      </c>
      <c r="K30" s="1" t="s">
        <v>473</v>
      </c>
      <c r="L30" s="1">
        <f t="shared" si="0"/>
        <v>0</v>
      </c>
      <c r="M30" s="12">
        <f>VLOOKUP(TRIM(A30 &amp; ""), 'planilha crua'!$A$2:$B$10000, 2, FALSE)</f>
        <v>45401</v>
      </c>
      <c r="N30" s="1">
        <f t="shared" si="1"/>
        <v>3</v>
      </c>
    </row>
    <row r="31" spans="1:14" x14ac:dyDescent="0.35">
      <c r="A31" s="1" t="s">
        <v>118</v>
      </c>
      <c r="B31" s="6">
        <v>1</v>
      </c>
      <c r="C31" s="1" t="s">
        <v>25</v>
      </c>
      <c r="D31" s="1" t="s">
        <v>26</v>
      </c>
      <c r="E31" s="1" t="s">
        <v>117</v>
      </c>
      <c r="F31" s="1">
        <v>30</v>
      </c>
      <c r="G31" s="1" t="s">
        <v>38</v>
      </c>
      <c r="H31" s="1">
        <v>3</v>
      </c>
      <c r="I31" s="1">
        <v>0.54</v>
      </c>
      <c r="J31" s="1">
        <v>2</v>
      </c>
      <c r="K31" s="1" t="s">
        <v>27</v>
      </c>
      <c r="L31" s="1">
        <f t="shared" si="0"/>
        <v>1</v>
      </c>
      <c r="M31" s="12">
        <f>VLOOKUP(TRIM(A31 &amp; ""), 'planilha crua'!$A$2:$B$10000, 2, FALSE)</f>
        <v>45404</v>
      </c>
      <c r="N31" s="1">
        <f t="shared" si="1"/>
        <v>3</v>
      </c>
    </row>
    <row r="32" spans="1:14" x14ac:dyDescent="0.35">
      <c r="A32" s="1" t="s">
        <v>123</v>
      </c>
      <c r="B32" s="6">
        <v>1</v>
      </c>
      <c r="C32" s="1" t="s">
        <v>25</v>
      </c>
      <c r="D32" s="1" t="s">
        <v>26</v>
      </c>
      <c r="E32" s="1" t="s">
        <v>117</v>
      </c>
      <c r="F32" s="1">
        <v>31</v>
      </c>
      <c r="G32" s="1" t="s">
        <v>38</v>
      </c>
      <c r="H32" s="1">
        <v>3</v>
      </c>
      <c r="I32" s="1">
        <v>0.52</v>
      </c>
      <c r="J32" s="1">
        <v>1</v>
      </c>
      <c r="K32" s="1" t="s">
        <v>473</v>
      </c>
      <c r="L32" s="1">
        <f t="shared" si="0"/>
        <v>0</v>
      </c>
      <c r="M32" s="12">
        <f>VLOOKUP(TRIM(A32 &amp; ""), 'planilha crua'!$A$2:$B$10000, 2, FALSE)</f>
        <v>45404</v>
      </c>
      <c r="N32" s="1">
        <f t="shared" si="1"/>
        <v>3</v>
      </c>
    </row>
    <row r="33" spans="1:14" x14ac:dyDescent="0.35">
      <c r="A33" s="1" t="s">
        <v>126</v>
      </c>
      <c r="B33" s="6">
        <v>1</v>
      </c>
      <c r="C33" s="1" t="s">
        <v>25</v>
      </c>
      <c r="D33" s="1" t="s">
        <v>26</v>
      </c>
      <c r="E33" s="1" t="s">
        <v>117</v>
      </c>
      <c r="F33" s="1">
        <v>32</v>
      </c>
      <c r="G33" s="1" t="s">
        <v>38</v>
      </c>
      <c r="H33" s="1">
        <v>3</v>
      </c>
      <c r="I33" s="1">
        <v>0.56899999999999995</v>
      </c>
      <c r="J33" s="1">
        <v>1</v>
      </c>
      <c r="K33" s="1" t="s">
        <v>473</v>
      </c>
      <c r="L33" s="1">
        <f t="shared" si="0"/>
        <v>0</v>
      </c>
      <c r="M33" s="12">
        <f>VLOOKUP(TRIM(A33 &amp; ""), 'planilha crua'!$A$2:$B$10000, 2, FALSE)</f>
        <v>45404</v>
      </c>
      <c r="N33" s="1">
        <f t="shared" si="1"/>
        <v>3</v>
      </c>
    </row>
    <row r="34" spans="1:14" x14ac:dyDescent="0.35">
      <c r="A34" s="1" t="s">
        <v>128</v>
      </c>
      <c r="B34" s="6">
        <v>1</v>
      </c>
      <c r="C34" s="1" t="s">
        <v>25</v>
      </c>
      <c r="D34" s="1" t="s">
        <v>26</v>
      </c>
      <c r="E34" s="1" t="s">
        <v>117</v>
      </c>
      <c r="F34" s="1">
        <v>33</v>
      </c>
      <c r="G34" s="1" t="s">
        <v>38</v>
      </c>
      <c r="H34" s="1">
        <v>3</v>
      </c>
      <c r="I34" s="1">
        <v>0.48599999999999999</v>
      </c>
      <c r="J34" s="1">
        <v>1</v>
      </c>
      <c r="K34" s="1" t="s">
        <v>473</v>
      </c>
      <c r="L34" s="1">
        <f t="shared" si="0"/>
        <v>0</v>
      </c>
      <c r="M34" s="12">
        <f>VLOOKUP(TRIM(A34 &amp; ""), 'planilha crua'!$A$2:$B$10000, 2, FALSE)</f>
        <v>45404</v>
      </c>
      <c r="N34" s="1">
        <f t="shared" si="1"/>
        <v>3</v>
      </c>
    </row>
    <row r="35" spans="1:14" x14ac:dyDescent="0.35">
      <c r="A35" s="1" t="s">
        <v>130</v>
      </c>
      <c r="B35" s="6">
        <v>1</v>
      </c>
      <c r="C35" s="1" t="s">
        <v>25</v>
      </c>
      <c r="D35" s="1" t="s">
        <v>26</v>
      </c>
      <c r="E35" s="1" t="s">
        <v>117</v>
      </c>
      <c r="F35" s="1">
        <v>34</v>
      </c>
      <c r="G35" s="1" t="s">
        <v>38</v>
      </c>
      <c r="H35" s="1">
        <v>3</v>
      </c>
      <c r="I35" s="1">
        <v>0.42499999999999999</v>
      </c>
      <c r="J35" s="1">
        <v>1</v>
      </c>
      <c r="K35" s="1" t="s">
        <v>473</v>
      </c>
      <c r="L35" s="1">
        <f t="shared" si="0"/>
        <v>0</v>
      </c>
      <c r="M35" s="12">
        <f>VLOOKUP(TRIM(A35 &amp; ""), 'planilha crua'!$A$2:$B$10000, 2, FALSE)</f>
        <v>45404</v>
      </c>
      <c r="N35" s="1">
        <f t="shared" si="1"/>
        <v>3</v>
      </c>
    </row>
    <row r="36" spans="1:14" x14ac:dyDescent="0.35">
      <c r="A36" s="1" t="s">
        <v>132</v>
      </c>
      <c r="B36" s="6">
        <v>1</v>
      </c>
      <c r="C36" s="1" t="s">
        <v>25</v>
      </c>
      <c r="D36" s="1" t="s">
        <v>26</v>
      </c>
      <c r="E36" s="1" t="s">
        <v>117</v>
      </c>
      <c r="F36" s="1">
        <v>35</v>
      </c>
      <c r="G36" s="1" t="s">
        <v>38</v>
      </c>
      <c r="H36" s="1">
        <v>3</v>
      </c>
      <c r="I36" s="1">
        <v>0.61699999999999999</v>
      </c>
      <c r="J36" s="1">
        <v>1</v>
      </c>
      <c r="K36" s="1" t="s">
        <v>473</v>
      </c>
      <c r="L36" s="1">
        <f t="shared" si="0"/>
        <v>0</v>
      </c>
      <c r="M36" s="12">
        <f>VLOOKUP(TRIM(A36 &amp; ""), 'planilha crua'!$A$2:$B$10000, 2, FALSE)</f>
        <v>45404</v>
      </c>
      <c r="N36" s="1">
        <f t="shared" si="1"/>
        <v>3</v>
      </c>
    </row>
    <row r="37" spans="1:14" x14ac:dyDescent="0.35">
      <c r="A37" s="1" t="s">
        <v>134</v>
      </c>
      <c r="B37" s="6">
        <v>1</v>
      </c>
      <c r="C37" s="1" t="s">
        <v>25</v>
      </c>
      <c r="D37" s="1" t="s">
        <v>26</v>
      </c>
      <c r="E37" s="1" t="s">
        <v>117</v>
      </c>
      <c r="F37" s="1">
        <v>36</v>
      </c>
      <c r="G37" s="1" t="s">
        <v>38</v>
      </c>
      <c r="H37" s="1">
        <v>3</v>
      </c>
      <c r="I37" s="1">
        <v>0.55400000000000005</v>
      </c>
      <c r="J37" s="1">
        <v>1</v>
      </c>
      <c r="K37" s="1" t="s">
        <v>473</v>
      </c>
      <c r="L37" s="1">
        <f t="shared" si="0"/>
        <v>0</v>
      </c>
      <c r="M37" s="12">
        <f>VLOOKUP(TRIM(A37 &amp; ""), 'planilha crua'!$A$2:$B$10000, 2, FALSE)</f>
        <v>45404</v>
      </c>
      <c r="N37" s="1">
        <f t="shared" si="1"/>
        <v>3</v>
      </c>
    </row>
    <row r="38" spans="1:14" x14ac:dyDescent="0.35">
      <c r="A38" s="1" t="s">
        <v>136</v>
      </c>
      <c r="B38" s="6">
        <v>1</v>
      </c>
      <c r="C38" s="1" t="s">
        <v>25</v>
      </c>
      <c r="D38" s="1" t="s">
        <v>26</v>
      </c>
      <c r="E38" s="1" t="s">
        <v>117</v>
      </c>
      <c r="F38" s="1">
        <v>37</v>
      </c>
      <c r="G38" s="1" t="s">
        <v>38</v>
      </c>
      <c r="H38" s="1">
        <v>3</v>
      </c>
      <c r="I38" s="1">
        <v>0.59399999999999997</v>
      </c>
      <c r="J38" s="1">
        <v>1</v>
      </c>
      <c r="K38" s="1" t="s">
        <v>473</v>
      </c>
      <c r="L38" s="1">
        <f t="shared" si="0"/>
        <v>0</v>
      </c>
      <c r="M38" s="12">
        <f>VLOOKUP(TRIM(A38 &amp; ""), 'planilha crua'!$A$2:$B$10000, 2, FALSE)</f>
        <v>45404</v>
      </c>
      <c r="N38" s="1">
        <f t="shared" si="1"/>
        <v>3</v>
      </c>
    </row>
    <row r="39" spans="1:14" x14ac:dyDescent="0.35">
      <c r="A39" s="1" t="s">
        <v>142</v>
      </c>
      <c r="B39" s="6">
        <v>1</v>
      </c>
      <c r="C39" s="1" t="s">
        <v>25</v>
      </c>
      <c r="D39" s="1" t="s">
        <v>26</v>
      </c>
      <c r="E39" s="1" t="s">
        <v>117</v>
      </c>
      <c r="F39" s="1">
        <v>38</v>
      </c>
      <c r="G39" s="1" t="s">
        <v>38</v>
      </c>
      <c r="H39" s="1">
        <v>3</v>
      </c>
      <c r="I39" s="1">
        <v>0.56399999999999995</v>
      </c>
      <c r="J39" s="1">
        <v>1</v>
      </c>
      <c r="K39" s="1" t="s">
        <v>473</v>
      </c>
      <c r="L39" s="1">
        <f t="shared" si="0"/>
        <v>0</v>
      </c>
      <c r="M39" s="12">
        <f>VLOOKUP(TRIM(A39 &amp; ""), 'planilha crua'!$A$2:$B$10000, 2, FALSE)</f>
        <v>45404</v>
      </c>
      <c r="N39" s="1">
        <f t="shared" si="1"/>
        <v>3</v>
      </c>
    </row>
    <row r="40" spans="1:14" x14ac:dyDescent="0.35">
      <c r="A40" s="1" t="s">
        <v>145</v>
      </c>
      <c r="B40" s="6">
        <v>1</v>
      </c>
      <c r="C40" s="1" t="s">
        <v>25</v>
      </c>
      <c r="D40" s="1" t="s">
        <v>26</v>
      </c>
      <c r="E40" s="1" t="s">
        <v>117</v>
      </c>
      <c r="F40" s="1">
        <v>39</v>
      </c>
      <c r="G40" s="1" t="s">
        <v>38</v>
      </c>
      <c r="H40" s="1">
        <v>3</v>
      </c>
      <c r="I40" s="1">
        <v>0.62</v>
      </c>
      <c r="J40" s="1">
        <v>1</v>
      </c>
      <c r="K40" s="1" t="s">
        <v>473</v>
      </c>
      <c r="L40" s="1">
        <f t="shared" si="0"/>
        <v>0</v>
      </c>
      <c r="M40" s="12">
        <f>VLOOKUP(TRIM(A40 &amp; ""), 'planilha crua'!$A$2:$B$10000, 2, FALSE)</f>
        <v>45404</v>
      </c>
      <c r="N40" s="1">
        <f t="shared" si="1"/>
        <v>3</v>
      </c>
    </row>
    <row r="41" spans="1:14" x14ac:dyDescent="0.35">
      <c r="A41" s="1" t="s">
        <v>147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40</v>
      </c>
      <c r="G41" s="1" t="s">
        <v>38</v>
      </c>
      <c r="H41" s="1">
        <v>3</v>
      </c>
      <c r="I41" s="1">
        <v>0.47599999999999998</v>
      </c>
      <c r="J41" s="1">
        <v>1</v>
      </c>
      <c r="K41" s="1" t="s">
        <v>473</v>
      </c>
      <c r="L41" s="1">
        <f t="shared" si="0"/>
        <v>0</v>
      </c>
      <c r="M41" s="12">
        <f>VLOOKUP(TRIM(A41 &amp; ""), 'planilha crua'!$A$2:$B$10000, 2, FALSE)</f>
        <v>45404</v>
      </c>
      <c r="N41" s="1">
        <f t="shared" si="1"/>
        <v>3</v>
      </c>
    </row>
    <row r="42" spans="1:14" x14ac:dyDescent="0.35">
      <c r="A42" s="1" t="s">
        <v>149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41</v>
      </c>
      <c r="G42" s="1" t="s">
        <v>38</v>
      </c>
      <c r="H42" s="1">
        <v>3</v>
      </c>
      <c r="I42" s="1">
        <v>0.55700000000000005</v>
      </c>
      <c r="J42" s="1">
        <v>1</v>
      </c>
      <c r="K42" s="1" t="s">
        <v>473</v>
      </c>
      <c r="L42" s="1">
        <f t="shared" si="0"/>
        <v>0</v>
      </c>
      <c r="M42" s="12">
        <f>VLOOKUP(TRIM(A42 &amp; ""), 'planilha crua'!$A$2:$B$10000, 2, FALSE)</f>
        <v>45404</v>
      </c>
      <c r="N42" s="1">
        <f t="shared" si="1"/>
        <v>3</v>
      </c>
    </row>
    <row r="43" spans="1:14" x14ac:dyDescent="0.35">
      <c r="A43" s="1" t="s">
        <v>151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42</v>
      </c>
      <c r="G43" s="1" t="s">
        <v>38</v>
      </c>
      <c r="H43" s="1">
        <v>3</v>
      </c>
      <c r="I43" s="1">
        <v>0.63300000000000001</v>
      </c>
      <c r="J43" s="1">
        <v>1</v>
      </c>
      <c r="K43" s="1" t="s">
        <v>473</v>
      </c>
      <c r="L43" s="1">
        <f t="shared" si="0"/>
        <v>0</v>
      </c>
      <c r="M43" s="12">
        <f>VLOOKUP(TRIM(A43 &amp; ""), 'planilha crua'!$A$2:$B$10000, 2, FALSE)</f>
        <v>45404</v>
      </c>
      <c r="N43" s="1">
        <f t="shared" si="1"/>
        <v>3</v>
      </c>
    </row>
    <row r="44" spans="1:14" x14ac:dyDescent="0.35">
      <c r="A44" s="1" t="s">
        <v>153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43</v>
      </c>
      <c r="G44" s="1" t="s">
        <v>38</v>
      </c>
      <c r="H44" s="1">
        <v>3</v>
      </c>
      <c r="I44" s="1">
        <v>0.54500000000000004</v>
      </c>
      <c r="J44" s="1">
        <v>1</v>
      </c>
      <c r="K44" s="1" t="s">
        <v>473</v>
      </c>
      <c r="L44" s="1">
        <f t="shared" si="0"/>
        <v>0</v>
      </c>
      <c r="M44" s="12">
        <f>VLOOKUP(TRIM(A44 &amp; ""), 'planilha crua'!$A$2:$B$10000, 2, FALSE)</f>
        <v>45404</v>
      </c>
      <c r="N44" s="1">
        <f t="shared" si="1"/>
        <v>3</v>
      </c>
    </row>
    <row r="45" spans="1:14" x14ac:dyDescent="0.35">
      <c r="A45" s="1" t="s">
        <v>155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44</v>
      </c>
      <c r="G45" s="1" t="s">
        <v>38</v>
      </c>
      <c r="H45" s="1">
        <v>3</v>
      </c>
      <c r="I45" s="1">
        <v>0.499</v>
      </c>
      <c r="J45" s="1">
        <v>1</v>
      </c>
      <c r="K45" s="1" t="s">
        <v>473</v>
      </c>
      <c r="L45" s="1">
        <f t="shared" si="0"/>
        <v>0</v>
      </c>
      <c r="M45" s="12">
        <f>VLOOKUP(TRIM(A45 &amp; ""), 'planilha crua'!$A$2:$B$10000, 2, FALSE)</f>
        <v>45404</v>
      </c>
      <c r="N45" s="1">
        <f t="shared" si="1"/>
        <v>3</v>
      </c>
    </row>
    <row r="46" spans="1:14" x14ac:dyDescent="0.35">
      <c r="A46" s="1" t="s">
        <v>160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45</v>
      </c>
      <c r="G46" s="1" t="s">
        <v>38</v>
      </c>
      <c r="H46" s="1">
        <v>4</v>
      </c>
      <c r="I46" s="1">
        <v>0.35</v>
      </c>
      <c r="J46" s="1">
        <v>3</v>
      </c>
      <c r="K46" s="1" t="s">
        <v>27</v>
      </c>
      <c r="L46" s="1">
        <f t="shared" si="0"/>
        <v>2</v>
      </c>
      <c r="M46" s="12">
        <f>VLOOKUP(TRIM(A46 &amp; ""), 'planilha crua'!$A$2:$B$10000, 2, FALSE)</f>
        <v>45404</v>
      </c>
      <c r="N46" s="1">
        <f t="shared" si="1"/>
        <v>3</v>
      </c>
    </row>
    <row r="47" spans="1:14" x14ac:dyDescent="0.35">
      <c r="A47" s="1" t="s">
        <v>163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46</v>
      </c>
      <c r="G47" s="1" t="s">
        <v>38</v>
      </c>
      <c r="H47" s="1">
        <v>4</v>
      </c>
      <c r="I47" s="1">
        <v>0.497</v>
      </c>
      <c r="J47" s="1">
        <v>2</v>
      </c>
      <c r="K47" s="1" t="s">
        <v>27</v>
      </c>
      <c r="L47" s="1">
        <f t="shared" si="0"/>
        <v>1</v>
      </c>
      <c r="M47" s="12">
        <f>VLOOKUP(TRIM(A47 &amp; ""), 'planilha crua'!$A$2:$B$10000, 2, FALSE)</f>
        <v>45404</v>
      </c>
      <c r="N47" s="1">
        <f t="shared" si="1"/>
        <v>3</v>
      </c>
    </row>
    <row r="48" spans="1:14" x14ac:dyDescent="0.35">
      <c r="A48" s="1" t="s">
        <v>165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47</v>
      </c>
      <c r="G48" s="1" t="s">
        <v>38</v>
      </c>
      <c r="H48" s="1">
        <v>4</v>
      </c>
      <c r="I48" s="1">
        <v>0.54900000000000004</v>
      </c>
      <c r="J48" s="1">
        <v>1</v>
      </c>
      <c r="K48" s="1" t="s">
        <v>473</v>
      </c>
      <c r="L48" s="1">
        <f t="shared" si="0"/>
        <v>0</v>
      </c>
      <c r="M48" s="12">
        <f>VLOOKUP(TRIM(A48 &amp; ""), 'planilha crua'!$A$2:$B$10000, 2, FALSE)</f>
        <v>45404</v>
      </c>
      <c r="N48" s="1">
        <f t="shared" si="1"/>
        <v>3</v>
      </c>
    </row>
    <row r="49" spans="1:14" x14ac:dyDescent="0.35">
      <c r="A49" s="1" t="s">
        <v>167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48</v>
      </c>
      <c r="G49" s="1" t="s">
        <v>38</v>
      </c>
      <c r="H49" s="1">
        <v>4</v>
      </c>
      <c r="I49" s="1">
        <v>0.54300000000000004</v>
      </c>
      <c r="J49" s="1">
        <v>1</v>
      </c>
      <c r="K49" s="1" t="s">
        <v>473</v>
      </c>
      <c r="L49" s="1">
        <f t="shared" si="0"/>
        <v>0</v>
      </c>
      <c r="M49" s="12">
        <f>VLOOKUP(TRIM(A49 &amp; ""), 'planilha crua'!$A$2:$B$10000, 2, FALSE)</f>
        <v>45404</v>
      </c>
      <c r="N49" s="1">
        <f t="shared" si="1"/>
        <v>3</v>
      </c>
    </row>
    <row r="50" spans="1:14" x14ac:dyDescent="0.35">
      <c r="A50" s="1" t="s">
        <v>169</v>
      </c>
      <c r="B50" s="6">
        <v>1</v>
      </c>
      <c r="C50" s="1" t="s">
        <v>25</v>
      </c>
      <c r="D50" s="1" t="s">
        <v>26</v>
      </c>
      <c r="E50" s="1">
        <v>1</v>
      </c>
      <c r="F50" s="1">
        <v>49</v>
      </c>
      <c r="G50" s="1" t="s">
        <v>27</v>
      </c>
      <c r="H50" s="1">
        <v>23</v>
      </c>
      <c r="I50" s="1">
        <v>0.63</v>
      </c>
      <c r="J50" s="1">
        <v>1</v>
      </c>
      <c r="K50" s="1" t="s">
        <v>473</v>
      </c>
      <c r="L50" s="1">
        <f t="shared" si="0"/>
        <v>0</v>
      </c>
      <c r="M50" s="12">
        <f>VLOOKUP(TRIM(A50 &amp; ""), 'planilha crua'!$A$2:$B$10000, 2, FALSE)</f>
        <v>45407</v>
      </c>
      <c r="N50" s="1">
        <f t="shared" si="1"/>
        <v>3</v>
      </c>
    </row>
    <row r="51" spans="1:14" x14ac:dyDescent="0.35">
      <c r="A51" s="1" t="s">
        <v>173</v>
      </c>
      <c r="B51" s="6">
        <v>1</v>
      </c>
      <c r="C51" s="1" t="s">
        <v>25</v>
      </c>
      <c r="D51" s="1" t="s">
        <v>26</v>
      </c>
      <c r="E51" s="1">
        <v>1</v>
      </c>
      <c r="F51" s="1">
        <v>50</v>
      </c>
      <c r="G51" s="1" t="s">
        <v>27</v>
      </c>
      <c r="H51" s="1">
        <v>24</v>
      </c>
      <c r="I51" s="1">
        <v>0.46899999999999997</v>
      </c>
      <c r="J51" s="1">
        <v>1</v>
      </c>
      <c r="K51" s="1" t="s">
        <v>473</v>
      </c>
      <c r="L51" s="1">
        <f t="shared" si="0"/>
        <v>0</v>
      </c>
      <c r="M51" s="12">
        <f>VLOOKUP(TRIM(A51 &amp; ""), 'planilha crua'!$A$2:$B$10000, 2, FALSE)</f>
        <v>45407</v>
      </c>
      <c r="N51" s="1">
        <f t="shared" si="1"/>
        <v>3</v>
      </c>
    </row>
    <row r="52" spans="1:14" x14ac:dyDescent="0.35">
      <c r="A52" s="1" t="s">
        <v>175</v>
      </c>
      <c r="B52" s="6">
        <v>1</v>
      </c>
      <c r="C52" s="1" t="s">
        <v>25</v>
      </c>
      <c r="D52" s="1" t="s">
        <v>26</v>
      </c>
      <c r="E52" s="1">
        <v>4</v>
      </c>
      <c r="F52" s="1">
        <v>51</v>
      </c>
      <c r="G52" s="1" t="s">
        <v>27</v>
      </c>
      <c r="H52" s="1">
        <v>25</v>
      </c>
      <c r="I52" s="1">
        <v>0.45300000000000001</v>
      </c>
      <c r="J52" s="1">
        <v>2</v>
      </c>
      <c r="K52" s="1" t="s">
        <v>27</v>
      </c>
      <c r="L52" s="1">
        <f t="shared" si="0"/>
        <v>1</v>
      </c>
      <c r="M52" s="12">
        <f>VLOOKUP(TRIM(A52 &amp; ""), 'planilha crua'!$A$2:$B$10000, 2, FALSE)</f>
        <v>45407</v>
      </c>
      <c r="N52" s="1">
        <f t="shared" si="1"/>
        <v>3</v>
      </c>
    </row>
    <row r="53" spans="1:14" x14ac:dyDescent="0.35">
      <c r="A53" s="1" t="s">
        <v>179</v>
      </c>
      <c r="B53" s="6">
        <v>1</v>
      </c>
      <c r="C53" s="1" t="s">
        <v>25</v>
      </c>
      <c r="D53" s="1" t="s">
        <v>26</v>
      </c>
      <c r="E53" s="1">
        <v>4</v>
      </c>
      <c r="F53" s="1">
        <v>52</v>
      </c>
      <c r="G53" s="1" t="s">
        <v>27</v>
      </c>
      <c r="H53" s="1">
        <v>26</v>
      </c>
      <c r="I53" s="1">
        <v>0.59899999999999998</v>
      </c>
      <c r="J53" s="1">
        <v>2</v>
      </c>
      <c r="K53" s="1" t="s">
        <v>27</v>
      </c>
      <c r="L53" s="1">
        <f t="shared" si="0"/>
        <v>1</v>
      </c>
      <c r="M53" s="12">
        <f>VLOOKUP(TRIM(A53 &amp; ""), 'planilha crua'!$A$2:$B$10000, 2, FALSE)</f>
        <v>45407</v>
      </c>
      <c r="N53" s="1">
        <f t="shared" si="1"/>
        <v>3</v>
      </c>
    </row>
    <row r="54" spans="1:14" x14ac:dyDescent="0.35">
      <c r="A54" s="1" t="s">
        <v>182</v>
      </c>
      <c r="B54" s="6">
        <v>1</v>
      </c>
      <c r="C54" s="1" t="s">
        <v>25</v>
      </c>
      <c r="D54" s="1" t="s">
        <v>26</v>
      </c>
      <c r="E54" s="1">
        <v>4</v>
      </c>
      <c r="F54" s="1">
        <v>53</v>
      </c>
      <c r="G54" s="1" t="s">
        <v>27</v>
      </c>
      <c r="H54" s="1">
        <v>27</v>
      </c>
      <c r="I54" s="1">
        <v>0.45800000000000002</v>
      </c>
      <c r="J54" s="1">
        <v>1</v>
      </c>
      <c r="K54" s="1" t="s">
        <v>473</v>
      </c>
      <c r="L54" s="1">
        <f t="shared" si="0"/>
        <v>0</v>
      </c>
      <c r="M54" s="12">
        <f>VLOOKUP(TRIM(A54 &amp; ""), 'planilha crua'!$A$2:$B$10000, 2, FALSE)</f>
        <v>45407</v>
      </c>
      <c r="N54" s="1">
        <f t="shared" si="1"/>
        <v>3</v>
      </c>
    </row>
    <row r="55" spans="1:14" x14ac:dyDescent="0.35">
      <c r="A55" s="1" t="s">
        <v>184</v>
      </c>
      <c r="B55" s="6">
        <v>1</v>
      </c>
      <c r="C55" s="1" t="s">
        <v>25</v>
      </c>
      <c r="D55" s="1" t="s">
        <v>26</v>
      </c>
      <c r="E55" s="1">
        <v>4</v>
      </c>
      <c r="F55" s="1">
        <v>54</v>
      </c>
      <c r="G55" s="1" t="s">
        <v>27</v>
      </c>
      <c r="H55" s="1">
        <v>28</v>
      </c>
      <c r="I55" s="1">
        <v>0.51900000000000002</v>
      </c>
      <c r="J55" s="1">
        <v>2</v>
      </c>
      <c r="K55" s="1" t="s">
        <v>27</v>
      </c>
      <c r="L55" s="1">
        <f t="shared" si="0"/>
        <v>1</v>
      </c>
      <c r="M55" s="12">
        <f>VLOOKUP(TRIM(A55 &amp; ""), 'planilha crua'!$A$2:$B$10000, 2, FALSE)</f>
        <v>45407</v>
      </c>
      <c r="N55" s="1">
        <f t="shared" si="1"/>
        <v>3</v>
      </c>
    </row>
    <row r="56" spans="1:14" x14ac:dyDescent="0.35">
      <c r="A56" s="1" t="s">
        <v>187</v>
      </c>
      <c r="B56" s="6">
        <v>1</v>
      </c>
      <c r="C56" s="1" t="s">
        <v>25</v>
      </c>
      <c r="D56" s="1" t="s">
        <v>26</v>
      </c>
      <c r="E56" s="1">
        <v>3</v>
      </c>
      <c r="F56" s="1">
        <v>55</v>
      </c>
      <c r="G56" s="1" t="s">
        <v>27</v>
      </c>
      <c r="H56" s="1">
        <v>29</v>
      </c>
      <c r="I56" s="1">
        <v>0.56200000000000006</v>
      </c>
      <c r="J56" s="1">
        <v>2</v>
      </c>
      <c r="K56" s="1" t="s">
        <v>27</v>
      </c>
      <c r="L56" s="1">
        <f t="shared" si="0"/>
        <v>1</v>
      </c>
      <c r="M56" s="12">
        <f>VLOOKUP(TRIM(A56 &amp; ""), 'planilha crua'!$A$2:$B$10000, 2, FALSE)</f>
        <v>45407</v>
      </c>
      <c r="N56" s="1">
        <f t="shared" si="1"/>
        <v>3</v>
      </c>
    </row>
    <row r="57" spans="1:14" x14ac:dyDescent="0.35">
      <c r="A57" s="1" t="s">
        <v>191</v>
      </c>
      <c r="B57" s="6">
        <v>1</v>
      </c>
      <c r="C57" s="1" t="s">
        <v>25</v>
      </c>
      <c r="D57" s="1" t="s">
        <v>26</v>
      </c>
      <c r="E57" s="1">
        <v>3</v>
      </c>
      <c r="F57" s="1">
        <v>56</v>
      </c>
      <c r="G57" s="1" t="s">
        <v>27</v>
      </c>
      <c r="H57" s="1">
        <v>30</v>
      </c>
      <c r="I57" s="1">
        <v>0.56100000000000005</v>
      </c>
      <c r="J57" s="1">
        <v>2</v>
      </c>
      <c r="K57" s="1" t="s">
        <v>27</v>
      </c>
      <c r="L57" s="1">
        <f t="shared" si="0"/>
        <v>1</v>
      </c>
      <c r="M57" s="12">
        <f>VLOOKUP(TRIM(A57 &amp; ""), 'planilha crua'!$A$2:$B$10000, 2, FALSE)</f>
        <v>45407</v>
      </c>
      <c r="N57" s="1">
        <f t="shared" si="1"/>
        <v>3</v>
      </c>
    </row>
    <row r="58" spans="1:14" x14ac:dyDescent="0.35">
      <c r="A58" s="1" t="s">
        <v>194</v>
      </c>
      <c r="B58" s="6">
        <v>1</v>
      </c>
      <c r="C58" s="1" t="s">
        <v>25</v>
      </c>
      <c r="D58" s="1" t="s">
        <v>26</v>
      </c>
      <c r="E58" s="1">
        <v>3</v>
      </c>
      <c r="F58" s="1">
        <v>57</v>
      </c>
      <c r="G58" s="1" t="s">
        <v>27</v>
      </c>
      <c r="H58" s="1">
        <v>31</v>
      </c>
      <c r="I58" s="1">
        <v>0.48199999999999998</v>
      </c>
      <c r="J58" s="1">
        <v>2</v>
      </c>
      <c r="K58" s="1" t="s">
        <v>27</v>
      </c>
      <c r="L58" s="1">
        <f t="shared" si="0"/>
        <v>1</v>
      </c>
      <c r="M58" s="12">
        <f>VLOOKUP(TRIM(A58 &amp; ""), 'planilha crua'!$A$2:$B$10000, 2, FALSE)</f>
        <v>45407</v>
      </c>
      <c r="N58" s="1">
        <f t="shared" si="1"/>
        <v>3</v>
      </c>
    </row>
    <row r="59" spans="1:14" x14ac:dyDescent="0.35">
      <c r="A59" s="1" t="s">
        <v>199</v>
      </c>
      <c r="B59" s="6">
        <v>1</v>
      </c>
      <c r="C59" s="1" t="s">
        <v>25</v>
      </c>
      <c r="D59" s="1" t="s">
        <v>26</v>
      </c>
      <c r="E59" s="1">
        <v>3</v>
      </c>
      <c r="F59" s="1">
        <v>58</v>
      </c>
      <c r="G59" s="1" t="s">
        <v>27</v>
      </c>
      <c r="H59" s="1">
        <v>32</v>
      </c>
      <c r="I59" s="1">
        <v>0.52600000000000002</v>
      </c>
      <c r="J59" s="1">
        <v>2</v>
      </c>
      <c r="K59" s="1" t="s">
        <v>27</v>
      </c>
      <c r="L59" s="1">
        <f t="shared" si="0"/>
        <v>1</v>
      </c>
      <c r="M59" s="12">
        <f>VLOOKUP(TRIM(A59 &amp; ""), 'planilha crua'!$A$2:$B$10000, 2, FALSE)</f>
        <v>45407</v>
      </c>
      <c r="N59" s="1">
        <f t="shared" si="1"/>
        <v>3</v>
      </c>
    </row>
    <row r="60" spans="1:14" x14ac:dyDescent="0.35">
      <c r="A60" s="1" t="s">
        <v>207</v>
      </c>
      <c r="B60" s="6">
        <v>1</v>
      </c>
      <c r="C60" s="1" t="s">
        <v>25</v>
      </c>
      <c r="D60" s="1" t="s">
        <v>26</v>
      </c>
      <c r="E60" s="1">
        <v>3</v>
      </c>
      <c r="F60" s="1">
        <v>60</v>
      </c>
      <c r="G60" s="1" t="s">
        <v>27</v>
      </c>
      <c r="H60" s="1">
        <v>33</v>
      </c>
      <c r="I60" s="1">
        <v>0.58899999999999997</v>
      </c>
      <c r="J60" s="1">
        <v>1</v>
      </c>
      <c r="K60" s="1" t="s">
        <v>473</v>
      </c>
      <c r="L60" s="1">
        <f t="shared" si="0"/>
        <v>0</v>
      </c>
      <c r="M60" s="12">
        <f>VLOOKUP(TRIM(A60 &amp; ""), 'planilha crua'!$A$2:$B$10000, 2, FALSE)</f>
        <v>45407</v>
      </c>
      <c r="N60" s="1">
        <f t="shared" si="1"/>
        <v>3</v>
      </c>
    </row>
    <row r="61" spans="1:14" x14ac:dyDescent="0.35">
      <c r="A61" s="1" t="s">
        <v>209</v>
      </c>
      <c r="B61" s="6">
        <v>1</v>
      </c>
      <c r="C61" s="1" t="s">
        <v>25</v>
      </c>
      <c r="D61" s="1" t="s">
        <v>26</v>
      </c>
      <c r="E61" s="1">
        <v>5</v>
      </c>
      <c r="F61" s="1">
        <v>61</v>
      </c>
      <c r="G61" s="1" t="s">
        <v>38</v>
      </c>
      <c r="H61" s="1">
        <v>5</v>
      </c>
      <c r="I61" s="1">
        <v>0.52</v>
      </c>
      <c r="J61" s="1">
        <v>2</v>
      </c>
      <c r="K61" s="1" t="s">
        <v>27</v>
      </c>
      <c r="L61" s="1">
        <f t="shared" si="0"/>
        <v>1</v>
      </c>
      <c r="M61" s="12">
        <f>VLOOKUP(TRIM(A61 &amp; ""), 'planilha crua'!$A$2:$B$10000, 2, FALSE)</f>
        <v>45412</v>
      </c>
      <c r="N61" s="1">
        <f t="shared" si="1"/>
        <v>4</v>
      </c>
    </row>
    <row r="62" spans="1:14" x14ac:dyDescent="0.35">
      <c r="A62" s="1" t="s">
        <v>213</v>
      </c>
      <c r="B62" s="6">
        <v>1</v>
      </c>
      <c r="C62" s="1" t="s">
        <v>25</v>
      </c>
      <c r="D62" s="1" t="s">
        <v>26</v>
      </c>
      <c r="E62" s="1">
        <v>5</v>
      </c>
      <c r="F62" s="1">
        <v>62</v>
      </c>
      <c r="G62" s="1" t="s">
        <v>38</v>
      </c>
      <c r="H62" s="1">
        <v>5</v>
      </c>
      <c r="I62" s="1">
        <v>0.53800000000000003</v>
      </c>
      <c r="J62" s="1">
        <v>1</v>
      </c>
      <c r="K62" s="1" t="s">
        <v>473</v>
      </c>
      <c r="L62" s="1">
        <f t="shared" si="0"/>
        <v>0</v>
      </c>
      <c r="M62" s="12">
        <f>VLOOKUP(TRIM(A62 &amp; ""), 'planilha crua'!$A$2:$B$10000, 2, FALSE)</f>
        <v>45412</v>
      </c>
      <c r="N62" s="1">
        <f t="shared" si="1"/>
        <v>4</v>
      </c>
    </row>
    <row r="63" spans="1:14" x14ac:dyDescent="0.35">
      <c r="A63" s="1" t="s">
        <v>215</v>
      </c>
      <c r="B63" s="6">
        <v>1</v>
      </c>
      <c r="C63" s="1" t="s">
        <v>25</v>
      </c>
      <c r="D63" s="1" t="s">
        <v>26</v>
      </c>
      <c r="E63" s="1">
        <v>5</v>
      </c>
      <c r="F63" s="1">
        <v>63</v>
      </c>
      <c r="G63" s="1" t="s">
        <v>38</v>
      </c>
      <c r="H63" s="1">
        <v>5</v>
      </c>
      <c r="I63" s="1">
        <v>0.42499999999999999</v>
      </c>
      <c r="J63" s="1">
        <v>1</v>
      </c>
      <c r="K63" s="1" t="s">
        <v>473</v>
      </c>
      <c r="L63" s="1">
        <f t="shared" si="0"/>
        <v>0</v>
      </c>
      <c r="M63" s="12">
        <f>VLOOKUP(TRIM(A63 &amp; ""), 'planilha crua'!$A$2:$B$10000, 2, FALSE)</f>
        <v>45412</v>
      </c>
      <c r="N63" s="1">
        <f t="shared" si="1"/>
        <v>4</v>
      </c>
    </row>
    <row r="64" spans="1:14" x14ac:dyDescent="0.35">
      <c r="A64" s="1" t="s">
        <v>217</v>
      </c>
      <c r="B64" s="6">
        <v>1</v>
      </c>
      <c r="C64" s="1" t="s">
        <v>25</v>
      </c>
      <c r="D64" s="1" t="s">
        <v>26</v>
      </c>
      <c r="E64" s="1">
        <v>5</v>
      </c>
      <c r="F64" s="1">
        <v>64</v>
      </c>
      <c r="G64" s="1" t="s">
        <v>38</v>
      </c>
      <c r="H64" s="1">
        <v>5</v>
      </c>
      <c r="I64" s="1">
        <v>0.49199999999999999</v>
      </c>
      <c r="J64" s="1">
        <v>1</v>
      </c>
      <c r="K64" s="1" t="s">
        <v>473</v>
      </c>
      <c r="L64" s="1">
        <f t="shared" si="0"/>
        <v>0</v>
      </c>
      <c r="M64" s="12">
        <f>VLOOKUP(TRIM(A64 &amp; ""), 'planilha crua'!$A$2:$B$10000, 2, FALSE)</f>
        <v>45412</v>
      </c>
      <c r="N64" s="1">
        <f t="shared" si="1"/>
        <v>4</v>
      </c>
    </row>
    <row r="65" spans="1:14" x14ac:dyDescent="0.35">
      <c r="A65" s="1" t="s">
        <v>219</v>
      </c>
      <c r="B65" s="6">
        <v>1</v>
      </c>
      <c r="C65" s="1" t="s">
        <v>25</v>
      </c>
      <c r="D65" s="1" t="s">
        <v>26</v>
      </c>
      <c r="E65" s="1">
        <v>5</v>
      </c>
      <c r="F65" s="1">
        <v>65</v>
      </c>
      <c r="G65" s="1" t="s">
        <v>38</v>
      </c>
      <c r="H65" s="1">
        <v>5</v>
      </c>
      <c r="I65" s="1">
        <v>0.47499999999999998</v>
      </c>
      <c r="J65" s="1">
        <v>1</v>
      </c>
      <c r="K65" s="1" t="s">
        <v>473</v>
      </c>
      <c r="L65" s="1">
        <f t="shared" si="0"/>
        <v>0</v>
      </c>
      <c r="M65" s="12">
        <f>VLOOKUP(TRIM(A65 &amp; ""), 'planilha crua'!$A$2:$B$10000, 2, FALSE)</f>
        <v>45412</v>
      </c>
      <c r="N65" s="1">
        <f t="shared" si="1"/>
        <v>4</v>
      </c>
    </row>
    <row r="66" spans="1:14" x14ac:dyDescent="0.35">
      <c r="A66" s="1" t="s">
        <v>221</v>
      </c>
      <c r="B66" s="6">
        <v>1</v>
      </c>
      <c r="C66" s="1" t="s">
        <v>25</v>
      </c>
      <c r="D66" s="1" t="s">
        <v>26</v>
      </c>
      <c r="E66" s="1" t="s">
        <v>117</v>
      </c>
      <c r="F66" s="1">
        <v>66</v>
      </c>
      <c r="G66" s="1" t="s">
        <v>27</v>
      </c>
      <c r="H66" s="1">
        <v>34</v>
      </c>
      <c r="I66" s="1">
        <v>0.51900000000000002</v>
      </c>
      <c r="J66" s="1">
        <v>1</v>
      </c>
      <c r="K66" s="1" t="s">
        <v>473</v>
      </c>
      <c r="L66" s="1">
        <f t="shared" si="0"/>
        <v>0</v>
      </c>
      <c r="M66" s="12">
        <f>VLOOKUP(TRIM(A66 &amp; ""), 'planilha crua'!$A$2:$B$10000, 2, FALSE)</f>
        <v>45414</v>
      </c>
      <c r="N66" s="1">
        <f t="shared" si="1"/>
        <v>4</v>
      </c>
    </row>
    <row r="67" spans="1:14" x14ac:dyDescent="0.35">
      <c r="A67" s="1" t="s">
        <v>224</v>
      </c>
      <c r="B67" s="6">
        <v>1</v>
      </c>
      <c r="C67" s="1" t="s">
        <v>25</v>
      </c>
      <c r="D67" s="1" t="s">
        <v>26</v>
      </c>
      <c r="E67" s="1" t="s">
        <v>117</v>
      </c>
      <c r="F67" s="1">
        <v>67</v>
      </c>
      <c r="G67" s="1" t="s">
        <v>27</v>
      </c>
      <c r="H67" s="1">
        <v>35</v>
      </c>
      <c r="I67" s="1">
        <v>0.56299999999999994</v>
      </c>
      <c r="J67" s="1">
        <v>1</v>
      </c>
      <c r="K67" s="1" t="s">
        <v>473</v>
      </c>
      <c r="L67" s="1">
        <f t="shared" ref="L67:L130" si="2">J67-1</f>
        <v>0</v>
      </c>
      <c r="M67" s="12">
        <f>VLOOKUP(TRIM(A67 &amp; ""), 'planilha crua'!$A$2:$B$10000, 2, FALSE)</f>
        <v>45414</v>
      </c>
      <c r="N67" s="1">
        <f t="shared" ref="N67:N130" si="3">INT((DATE(2000, MONTH(M67), DAY(M67)) - DATE(2000, 3, 12)) / 15) + 1</f>
        <v>4</v>
      </c>
    </row>
    <row r="68" spans="1:14" x14ac:dyDescent="0.35">
      <c r="A68" s="1" t="s">
        <v>226</v>
      </c>
      <c r="B68" s="6">
        <v>1</v>
      </c>
      <c r="C68" s="7" t="s">
        <v>25</v>
      </c>
      <c r="D68" s="1" t="s">
        <v>26</v>
      </c>
      <c r="E68" s="1">
        <v>6</v>
      </c>
      <c r="F68" s="1">
        <v>68</v>
      </c>
      <c r="G68" s="1" t="s">
        <v>27</v>
      </c>
      <c r="H68" s="1">
        <v>36</v>
      </c>
      <c r="I68" s="1">
        <v>0.45600000000000002</v>
      </c>
      <c r="J68" s="1">
        <v>1</v>
      </c>
      <c r="K68" s="1" t="s">
        <v>473</v>
      </c>
      <c r="L68" s="1">
        <f t="shared" si="2"/>
        <v>0</v>
      </c>
      <c r="M68" s="12">
        <f>VLOOKUP(TRIM(A68 &amp; ""), 'planilha crua'!$A$2:$B$10000, 2, FALSE)</f>
        <v>45414</v>
      </c>
      <c r="N68" s="1">
        <f t="shared" si="3"/>
        <v>4</v>
      </c>
    </row>
    <row r="69" spans="1:14" x14ac:dyDescent="0.35">
      <c r="A69" s="1" t="s">
        <v>228</v>
      </c>
      <c r="B69" s="6">
        <v>1</v>
      </c>
      <c r="C69" s="1" t="s">
        <v>25</v>
      </c>
      <c r="D69" s="1" t="s">
        <v>26</v>
      </c>
      <c r="E69" s="1">
        <v>6</v>
      </c>
      <c r="F69" s="1">
        <v>69</v>
      </c>
      <c r="G69" s="1" t="s">
        <v>27</v>
      </c>
      <c r="H69" s="1">
        <v>37</v>
      </c>
      <c r="I69" s="1">
        <v>0.504</v>
      </c>
      <c r="J69" s="1">
        <v>1</v>
      </c>
      <c r="K69" s="1" t="s">
        <v>473</v>
      </c>
      <c r="L69" s="1">
        <f t="shared" si="2"/>
        <v>0</v>
      </c>
      <c r="M69" s="12">
        <f>VLOOKUP(TRIM(A69 &amp; ""), 'planilha crua'!$A$2:$B$10000, 2, FALSE)</f>
        <v>45414</v>
      </c>
      <c r="N69" s="1">
        <f t="shared" si="3"/>
        <v>4</v>
      </c>
    </row>
    <row r="70" spans="1:14" x14ac:dyDescent="0.35">
      <c r="A70" s="1" t="s">
        <v>230</v>
      </c>
      <c r="B70" s="6">
        <v>1</v>
      </c>
      <c r="C70" s="1" t="s">
        <v>25</v>
      </c>
      <c r="D70" s="1" t="s">
        <v>26</v>
      </c>
      <c r="E70" s="1">
        <v>6</v>
      </c>
      <c r="F70" s="1">
        <v>70</v>
      </c>
      <c r="G70" s="1" t="s">
        <v>27</v>
      </c>
      <c r="H70" s="1">
        <v>38</v>
      </c>
      <c r="I70" s="1">
        <v>0.44900000000000001</v>
      </c>
      <c r="J70" s="1">
        <v>1</v>
      </c>
      <c r="K70" s="1" t="s">
        <v>473</v>
      </c>
      <c r="L70" s="1">
        <f t="shared" si="2"/>
        <v>0</v>
      </c>
      <c r="M70" s="12">
        <f>VLOOKUP(TRIM(A70 &amp; ""), 'planilha crua'!$A$2:$B$10000, 2, FALSE)</f>
        <v>45414</v>
      </c>
      <c r="N70" s="1">
        <f t="shared" si="3"/>
        <v>4</v>
      </c>
    </row>
    <row r="71" spans="1:14" x14ac:dyDescent="0.35">
      <c r="A71" s="1" t="s">
        <v>232</v>
      </c>
      <c r="B71" s="6">
        <v>1</v>
      </c>
      <c r="C71" s="1" t="s">
        <v>25</v>
      </c>
      <c r="D71" s="1" t="s">
        <v>26</v>
      </c>
      <c r="E71" s="1">
        <v>6</v>
      </c>
      <c r="F71" s="1">
        <v>71</v>
      </c>
      <c r="G71" s="1" t="s">
        <v>27</v>
      </c>
      <c r="H71" s="1">
        <v>39</v>
      </c>
      <c r="I71" s="1">
        <v>0.49299999999999999</v>
      </c>
      <c r="J71" s="1">
        <v>1</v>
      </c>
      <c r="K71" s="1" t="s">
        <v>473</v>
      </c>
      <c r="L71" s="1">
        <f t="shared" si="2"/>
        <v>0</v>
      </c>
      <c r="M71" s="12">
        <f>VLOOKUP(TRIM(A71 &amp; ""), 'planilha crua'!$A$2:$B$10000, 2, FALSE)</f>
        <v>45414</v>
      </c>
      <c r="N71" s="1">
        <f t="shared" si="3"/>
        <v>4</v>
      </c>
    </row>
    <row r="72" spans="1:14" x14ac:dyDescent="0.35">
      <c r="A72" s="1" t="s">
        <v>234</v>
      </c>
      <c r="B72" s="6">
        <v>1</v>
      </c>
      <c r="C72" s="1" t="s">
        <v>25</v>
      </c>
      <c r="D72" s="1" t="s">
        <v>26</v>
      </c>
      <c r="E72" s="1">
        <v>6</v>
      </c>
      <c r="F72" s="1">
        <v>72</v>
      </c>
      <c r="G72" s="1" t="s">
        <v>27</v>
      </c>
      <c r="H72" s="1">
        <v>40</v>
      </c>
      <c r="I72" s="1">
        <v>0.57199999999999995</v>
      </c>
      <c r="J72" s="1">
        <v>1</v>
      </c>
      <c r="K72" s="1" t="s">
        <v>473</v>
      </c>
      <c r="L72" s="1">
        <f t="shared" si="2"/>
        <v>0</v>
      </c>
      <c r="M72" s="12">
        <f>VLOOKUP(TRIM(A72 &amp; ""), 'planilha crua'!$A$2:$B$10000, 2, FALSE)</f>
        <v>45414</v>
      </c>
      <c r="N72" s="1">
        <f t="shared" si="3"/>
        <v>4</v>
      </c>
    </row>
    <row r="73" spans="1:14" x14ac:dyDescent="0.35">
      <c r="A73" s="1" t="s">
        <v>237</v>
      </c>
      <c r="B73" s="6">
        <v>1</v>
      </c>
      <c r="C73" s="1" t="s">
        <v>25</v>
      </c>
      <c r="D73" s="1" t="s">
        <v>26</v>
      </c>
      <c r="E73" s="1">
        <v>3</v>
      </c>
      <c r="F73" s="1">
        <v>73</v>
      </c>
      <c r="G73" s="1" t="s">
        <v>27</v>
      </c>
      <c r="H73" s="1">
        <v>41</v>
      </c>
      <c r="I73" s="1">
        <v>0.52200000000000002</v>
      </c>
      <c r="J73" s="1">
        <v>1</v>
      </c>
      <c r="K73" s="1" t="s">
        <v>473</v>
      </c>
      <c r="L73" s="1">
        <f t="shared" si="2"/>
        <v>0</v>
      </c>
      <c r="M73" s="12">
        <f>VLOOKUP(TRIM(A73 &amp; ""), 'planilha crua'!$A$2:$B$10000, 2, FALSE)</f>
        <v>45414</v>
      </c>
      <c r="N73" s="1">
        <f t="shared" si="3"/>
        <v>4</v>
      </c>
    </row>
    <row r="74" spans="1:14" x14ac:dyDescent="0.35">
      <c r="A74" s="1" t="s">
        <v>239</v>
      </c>
      <c r="B74" s="6">
        <v>1</v>
      </c>
      <c r="C74" s="1" t="s">
        <v>25</v>
      </c>
      <c r="D74" s="1" t="s">
        <v>26</v>
      </c>
      <c r="E74" s="1" t="s">
        <v>117</v>
      </c>
      <c r="F74" s="1">
        <v>74</v>
      </c>
      <c r="G74" s="1" t="s">
        <v>27</v>
      </c>
      <c r="H74" s="1">
        <v>42</v>
      </c>
      <c r="I74" s="1">
        <v>0.47</v>
      </c>
      <c r="J74" s="1">
        <v>1</v>
      </c>
      <c r="K74" s="1" t="s">
        <v>473</v>
      </c>
      <c r="L74" s="1">
        <f t="shared" si="2"/>
        <v>0</v>
      </c>
      <c r="M74" s="12">
        <f>VLOOKUP(TRIM(A74 &amp; ""), 'planilha crua'!$A$2:$B$10000, 2, FALSE)</f>
        <v>45414</v>
      </c>
      <c r="N74" s="1">
        <f t="shared" si="3"/>
        <v>4</v>
      </c>
    </row>
    <row r="75" spans="1:14" x14ac:dyDescent="0.35">
      <c r="A75" s="1" t="s">
        <v>241</v>
      </c>
      <c r="B75" s="6">
        <v>1</v>
      </c>
      <c r="C75" s="1" t="s">
        <v>25</v>
      </c>
      <c r="D75" s="1" t="s">
        <v>26</v>
      </c>
      <c r="E75" s="1" t="s">
        <v>117</v>
      </c>
      <c r="F75" s="1">
        <v>75</v>
      </c>
      <c r="G75" s="1" t="s">
        <v>27</v>
      </c>
      <c r="H75" s="1">
        <v>43</v>
      </c>
      <c r="I75" s="1">
        <v>0.49299999999999999</v>
      </c>
      <c r="J75" s="1">
        <v>1</v>
      </c>
      <c r="K75" s="1" t="s">
        <v>473</v>
      </c>
      <c r="L75" s="1">
        <f t="shared" si="2"/>
        <v>0</v>
      </c>
      <c r="M75" s="12">
        <f>VLOOKUP(TRIM(A75 &amp; ""), 'planilha crua'!$A$2:$B$10000, 2, FALSE)</f>
        <v>45414</v>
      </c>
      <c r="N75" s="1">
        <f t="shared" si="3"/>
        <v>4</v>
      </c>
    </row>
    <row r="76" spans="1:14" x14ac:dyDescent="0.35">
      <c r="A76" s="1" t="s">
        <v>243</v>
      </c>
      <c r="B76" s="6">
        <v>1</v>
      </c>
      <c r="C76" s="1" t="s">
        <v>25</v>
      </c>
      <c r="D76" s="1" t="s">
        <v>26</v>
      </c>
      <c r="E76" s="1">
        <v>1</v>
      </c>
      <c r="F76" s="1">
        <v>76</v>
      </c>
      <c r="G76" s="1" t="s">
        <v>27</v>
      </c>
      <c r="H76" s="1">
        <v>44</v>
      </c>
      <c r="I76" s="1">
        <v>0.57499999999999996</v>
      </c>
      <c r="J76" s="1">
        <v>1</v>
      </c>
      <c r="K76" s="1" t="s">
        <v>473</v>
      </c>
      <c r="L76" s="1">
        <f t="shared" si="2"/>
        <v>0</v>
      </c>
      <c r="M76" s="12">
        <f>VLOOKUP(TRIM(A76 &amp; ""), 'planilha crua'!$A$2:$B$10000, 2, FALSE)</f>
        <v>45407</v>
      </c>
      <c r="N76" s="1">
        <f t="shared" si="3"/>
        <v>3</v>
      </c>
    </row>
    <row r="77" spans="1:14" x14ac:dyDescent="0.35">
      <c r="A77" s="1" t="s">
        <v>248</v>
      </c>
      <c r="B77" s="1">
        <v>2</v>
      </c>
      <c r="C77" s="1" t="s">
        <v>25</v>
      </c>
      <c r="D77" s="1" t="s">
        <v>26</v>
      </c>
      <c r="E77" s="1">
        <v>1</v>
      </c>
      <c r="F77" s="1">
        <v>77</v>
      </c>
      <c r="G77" s="1" t="s">
        <v>27</v>
      </c>
      <c r="H77" s="1">
        <v>45</v>
      </c>
      <c r="I77" s="1">
        <v>0.45</v>
      </c>
      <c r="J77" s="1">
        <v>3</v>
      </c>
      <c r="K77" s="1" t="s">
        <v>27</v>
      </c>
      <c r="L77" s="1">
        <f t="shared" si="2"/>
        <v>2</v>
      </c>
      <c r="M77" s="12">
        <f>VLOOKUP(TRIM(A77 &amp; ""), 'planilha crua'!$A$2:$B$10000, 2, FALSE)</f>
        <v>45728</v>
      </c>
      <c r="N77" s="1">
        <f t="shared" si="3"/>
        <v>1</v>
      </c>
    </row>
    <row r="78" spans="1:14" x14ac:dyDescent="0.35">
      <c r="A78" s="1" t="s">
        <v>250</v>
      </c>
      <c r="B78" s="1">
        <v>2</v>
      </c>
      <c r="C78" s="1" t="s">
        <v>25</v>
      </c>
      <c r="D78" s="1" t="s">
        <v>26</v>
      </c>
      <c r="E78" s="1">
        <v>1</v>
      </c>
      <c r="F78" s="1">
        <v>78</v>
      </c>
      <c r="G78" s="1" t="s">
        <v>27</v>
      </c>
      <c r="H78" s="1">
        <v>46</v>
      </c>
      <c r="I78" s="1">
        <v>0.442</v>
      </c>
      <c r="J78" s="1">
        <v>2</v>
      </c>
      <c r="K78" s="1" t="s">
        <v>27</v>
      </c>
      <c r="L78" s="1">
        <f t="shared" si="2"/>
        <v>1</v>
      </c>
      <c r="M78" s="12">
        <f>VLOOKUP(TRIM(A78 &amp; ""), 'planilha crua'!$A$2:$B$10000, 2, FALSE)</f>
        <v>45728</v>
      </c>
      <c r="N78" s="1">
        <f t="shared" si="3"/>
        <v>1</v>
      </c>
    </row>
    <row r="79" spans="1:14" x14ac:dyDescent="0.35">
      <c r="A79" s="1" t="s">
        <v>253</v>
      </c>
      <c r="B79" s="1">
        <v>2</v>
      </c>
      <c r="C79" s="1" t="s">
        <v>25</v>
      </c>
      <c r="D79" s="1" t="s">
        <v>26</v>
      </c>
      <c r="E79" s="1">
        <v>1</v>
      </c>
      <c r="F79" s="1">
        <v>79</v>
      </c>
      <c r="G79" s="1" t="s">
        <v>27</v>
      </c>
      <c r="H79" s="1">
        <v>47</v>
      </c>
      <c r="I79" s="1">
        <v>0.44500000000000001</v>
      </c>
      <c r="J79" s="1">
        <v>3</v>
      </c>
      <c r="K79" s="1" t="s">
        <v>27</v>
      </c>
      <c r="L79" s="1">
        <f t="shared" si="2"/>
        <v>2</v>
      </c>
      <c r="M79" s="12">
        <f>VLOOKUP(TRIM(A79 &amp; ""), 'planilha crua'!$A$2:$B$10000, 2, FALSE)</f>
        <v>45728</v>
      </c>
      <c r="N79" s="1">
        <f t="shared" si="3"/>
        <v>1</v>
      </c>
    </row>
    <row r="80" spans="1:14" x14ac:dyDescent="0.35">
      <c r="A80" s="1" t="s">
        <v>258</v>
      </c>
      <c r="B80" s="1">
        <v>2</v>
      </c>
      <c r="C80" s="1" t="s">
        <v>25</v>
      </c>
      <c r="D80" s="1" t="s">
        <v>26</v>
      </c>
      <c r="E80" s="1">
        <v>3</v>
      </c>
      <c r="F80" s="1">
        <v>80</v>
      </c>
      <c r="G80" s="1" t="s">
        <v>38</v>
      </c>
      <c r="H80" s="1">
        <v>6</v>
      </c>
      <c r="I80" s="1">
        <v>0.29599999999999999</v>
      </c>
      <c r="J80" s="1">
        <v>1</v>
      </c>
      <c r="K80" s="1" t="s">
        <v>473</v>
      </c>
      <c r="L80" s="1">
        <f t="shared" si="2"/>
        <v>0</v>
      </c>
      <c r="M80" s="12">
        <f>VLOOKUP(TRIM(A80 &amp; ""), 'planilha crua'!$A$2:$B$10000, 2, FALSE)</f>
        <v>45728</v>
      </c>
      <c r="N80" s="1">
        <f t="shared" si="3"/>
        <v>1</v>
      </c>
    </row>
    <row r="81" spans="1:14" x14ac:dyDescent="0.35">
      <c r="A81" s="1" t="s">
        <v>260</v>
      </c>
      <c r="B81" s="1">
        <v>2</v>
      </c>
      <c r="C81" s="1" t="s">
        <v>25</v>
      </c>
      <c r="D81" s="1" t="s">
        <v>26</v>
      </c>
      <c r="E81" s="1">
        <v>3</v>
      </c>
      <c r="F81" s="1">
        <v>81</v>
      </c>
      <c r="G81" s="1" t="s">
        <v>38</v>
      </c>
      <c r="H81" s="1">
        <v>6</v>
      </c>
      <c r="I81" s="1">
        <v>0.36799999999999999</v>
      </c>
      <c r="J81" s="1">
        <v>1</v>
      </c>
      <c r="K81" s="1" t="s">
        <v>473</v>
      </c>
      <c r="L81" s="1">
        <f t="shared" si="2"/>
        <v>0</v>
      </c>
      <c r="M81" s="12">
        <f>VLOOKUP(TRIM(A81 &amp; ""), 'planilha crua'!$A$2:$B$10000, 2, FALSE)</f>
        <v>45728</v>
      </c>
      <c r="N81" s="1">
        <f t="shared" si="3"/>
        <v>1</v>
      </c>
    </row>
    <row r="82" spans="1:14" x14ac:dyDescent="0.35">
      <c r="A82" s="1" t="s">
        <v>262</v>
      </c>
      <c r="B82" s="1">
        <v>2</v>
      </c>
      <c r="C82" s="1" t="s">
        <v>25</v>
      </c>
      <c r="D82" s="1" t="s">
        <v>26</v>
      </c>
      <c r="E82" s="1">
        <v>3</v>
      </c>
      <c r="F82" s="1">
        <v>82</v>
      </c>
      <c r="G82" s="1" t="s">
        <v>38</v>
      </c>
      <c r="H82" s="1">
        <v>6</v>
      </c>
      <c r="I82" s="1">
        <v>0.436</v>
      </c>
      <c r="J82" s="1">
        <v>1</v>
      </c>
      <c r="K82" s="1" t="s">
        <v>473</v>
      </c>
      <c r="L82" s="1">
        <f t="shared" si="2"/>
        <v>0</v>
      </c>
      <c r="M82" s="12">
        <f>VLOOKUP(TRIM(A82 &amp; ""), 'planilha crua'!$A$2:$B$10000, 2, FALSE)</f>
        <v>45728</v>
      </c>
      <c r="N82" s="1">
        <f t="shared" si="3"/>
        <v>1</v>
      </c>
    </row>
    <row r="83" spans="1:14" x14ac:dyDescent="0.35">
      <c r="A83" s="1" t="s">
        <v>264</v>
      </c>
      <c r="B83" s="1">
        <v>2</v>
      </c>
      <c r="C83" s="1" t="s">
        <v>25</v>
      </c>
      <c r="D83" s="1" t="s">
        <v>26</v>
      </c>
      <c r="E83" s="1">
        <v>3</v>
      </c>
      <c r="F83" s="1">
        <v>83</v>
      </c>
      <c r="G83" s="1" t="s">
        <v>38</v>
      </c>
      <c r="H83" s="1">
        <v>6</v>
      </c>
      <c r="I83" s="1">
        <v>0.30099999999999999</v>
      </c>
      <c r="J83" s="1">
        <v>1</v>
      </c>
      <c r="K83" s="1" t="s">
        <v>473</v>
      </c>
      <c r="L83" s="1">
        <f t="shared" si="2"/>
        <v>0</v>
      </c>
      <c r="M83" s="12">
        <f>VLOOKUP(TRIM(A83 &amp; ""), 'planilha crua'!$A$2:$B$10000, 2, FALSE)</f>
        <v>45728</v>
      </c>
      <c r="N83" s="1">
        <f t="shared" si="3"/>
        <v>1</v>
      </c>
    </row>
    <row r="84" spans="1:14" x14ac:dyDescent="0.35">
      <c r="A84" s="1" t="s">
        <v>270</v>
      </c>
      <c r="B84" s="1">
        <v>2</v>
      </c>
      <c r="C84" s="1" t="s">
        <v>25</v>
      </c>
      <c r="D84" s="1" t="s">
        <v>26</v>
      </c>
      <c r="E84" s="1">
        <v>3</v>
      </c>
      <c r="F84" s="1">
        <v>84</v>
      </c>
      <c r="G84" s="1" t="s">
        <v>38</v>
      </c>
      <c r="H84" s="1">
        <v>6</v>
      </c>
      <c r="I84" s="1">
        <v>0.498</v>
      </c>
      <c r="J84" s="1">
        <v>2</v>
      </c>
      <c r="K84" s="1" t="s">
        <v>27</v>
      </c>
      <c r="L84" s="1">
        <f t="shared" si="2"/>
        <v>1</v>
      </c>
      <c r="M84" s="12">
        <f>VLOOKUP(TRIM(A84 &amp; ""), 'planilha crua'!$A$2:$B$10000, 2, FALSE)</f>
        <v>45728</v>
      </c>
      <c r="N84" s="1">
        <f t="shared" si="3"/>
        <v>1</v>
      </c>
    </row>
    <row r="85" spans="1:14" x14ac:dyDescent="0.35">
      <c r="A85" s="1" t="s">
        <v>272</v>
      </c>
      <c r="B85" s="1">
        <v>2</v>
      </c>
      <c r="C85" s="1" t="s">
        <v>25</v>
      </c>
      <c r="D85" s="1" t="s">
        <v>26</v>
      </c>
      <c r="E85" s="1">
        <v>3</v>
      </c>
      <c r="F85" s="1">
        <v>85</v>
      </c>
      <c r="G85" s="1" t="s">
        <v>38</v>
      </c>
      <c r="H85" s="1">
        <v>6</v>
      </c>
      <c r="I85" s="1">
        <v>0.54500000000000004</v>
      </c>
      <c r="J85" s="1">
        <v>3</v>
      </c>
      <c r="K85" s="1" t="s">
        <v>27</v>
      </c>
      <c r="L85" s="1">
        <f t="shared" si="2"/>
        <v>2</v>
      </c>
      <c r="M85" s="12">
        <f>VLOOKUP(TRIM(A85 &amp; ""), 'planilha crua'!$A$2:$B$10000, 2, FALSE)</f>
        <v>45728</v>
      </c>
      <c r="N85" s="1">
        <f t="shared" si="3"/>
        <v>1</v>
      </c>
    </row>
    <row r="86" spans="1:14" x14ac:dyDescent="0.35">
      <c r="A86" s="1" t="s">
        <v>276</v>
      </c>
      <c r="B86" s="1">
        <v>2</v>
      </c>
      <c r="C86" s="1" t="s">
        <v>25</v>
      </c>
      <c r="D86" s="1" t="s">
        <v>26</v>
      </c>
      <c r="E86" s="1">
        <v>3</v>
      </c>
      <c r="F86" s="1">
        <v>86</v>
      </c>
      <c r="G86" s="1" t="s">
        <v>38</v>
      </c>
      <c r="H86" s="1">
        <v>6</v>
      </c>
      <c r="I86" s="1">
        <v>0.47499999999999998</v>
      </c>
      <c r="J86" s="1">
        <v>9</v>
      </c>
      <c r="K86" s="1" t="s">
        <v>27</v>
      </c>
      <c r="L86" s="1">
        <f t="shared" si="2"/>
        <v>8</v>
      </c>
      <c r="M86" s="12">
        <f>VLOOKUP(TRIM(A86 &amp; ""), 'planilha crua'!$A$2:$B$10000, 2, FALSE)</f>
        <v>45728</v>
      </c>
      <c r="N86" s="1">
        <f t="shared" si="3"/>
        <v>1</v>
      </c>
    </row>
    <row r="87" spans="1:14" x14ac:dyDescent="0.35">
      <c r="A87" s="1" t="s">
        <v>288</v>
      </c>
      <c r="B87" s="1">
        <v>2</v>
      </c>
      <c r="C87" s="1" t="s">
        <v>25</v>
      </c>
      <c r="D87" s="1" t="s">
        <v>26</v>
      </c>
      <c r="E87" s="1">
        <v>3</v>
      </c>
      <c r="F87" s="1">
        <v>87</v>
      </c>
      <c r="G87" s="1" t="s">
        <v>38</v>
      </c>
      <c r="H87" s="1">
        <v>6</v>
      </c>
      <c r="I87" s="1">
        <v>0.51200000000000001</v>
      </c>
      <c r="J87" s="1">
        <v>1</v>
      </c>
      <c r="K87" s="1" t="s">
        <v>473</v>
      </c>
      <c r="L87" s="1">
        <f t="shared" si="2"/>
        <v>0</v>
      </c>
      <c r="M87" s="12">
        <f>VLOOKUP(TRIM(A87 &amp; ""), 'planilha crua'!$A$2:$B$10000, 2, FALSE)</f>
        <v>45728</v>
      </c>
      <c r="N87" s="1">
        <f t="shared" si="3"/>
        <v>1</v>
      </c>
    </row>
    <row r="88" spans="1:14" x14ac:dyDescent="0.35">
      <c r="A88" s="1" t="s">
        <v>290</v>
      </c>
      <c r="B88" s="1">
        <v>2</v>
      </c>
      <c r="C88" s="1" t="s">
        <v>25</v>
      </c>
      <c r="D88" s="1" t="s">
        <v>26</v>
      </c>
      <c r="E88" s="1">
        <v>3</v>
      </c>
      <c r="F88" s="1">
        <v>88</v>
      </c>
      <c r="G88" s="1" t="s">
        <v>38</v>
      </c>
      <c r="H88" s="1">
        <v>7</v>
      </c>
      <c r="I88" s="1">
        <v>0.38400000000000001</v>
      </c>
      <c r="J88" s="1">
        <v>2</v>
      </c>
      <c r="K88" s="1" t="s">
        <v>27</v>
      </c>
      <c r="L88" s="1">
        <f t="shared" si="2"/>
        <v>1</v>
      </c>
      <c r="M88" s="12">
        <f>VLOOKUP(TRIM(A88 &amp; ""), 'planilha crua'!$A$2:$B$10000, 2, FALSE)</f>
        <v>45728</v>
      </c>
      <c r="N88" s="1">
        <f t="shared" si="3"/>
        <v>1</v>
      </c>
    </row>
    <row r="89" spans="1:14" x14ac:dyDescent="0.35">
      <c r="A89" s="1" t="s">
        <v>293</v>
      </c>
      <c r="B89" s="1">
        <v>2</v>
      </c>
      <c r="C89" s="1" t="s">
        <v>25</v>
      </c>
      <c r="D89" s="1" t="s">
        <v>26</v>
      </c>
      <c r="E89" s="1">
        <v>3</v>
      </c>
      <c r="F89" s="1">
        <v>89</v>
      </c>
      <c r="G89" s="1" t="s">
        <v>38</v>
      </c>
      <c r="H89" s="1">
        <v>7</v>
      </c>
      <c r="I89" s="1">
        <v>0.34300000000000003</v>
      </c>
      <c r="J89" s="1">
        <v>1</v>
      </c>
      <c r="K89" s="1" t="s">
        <v>473</v>
      </c>
      <c r="L89" s="1">
        <f t="shared" si="2"/>
        <v>0</v>
      </c>
      <c r="M89" s="12">
        <f>VLOOKUP(TRIM(A89 &amp; ""), 'planilha crua'!$A$2:$B$10000, 2, FALSE)</f>
        <v>45728</v>
      </c>
      <c r="N89" s="1">
        <f t="shared" si="3"/>
        <v>1</v>
      </c>
    </row>
    <row r="90" spans="1:14" x14ac:dyDescent="0.35">
      <c r="A90" s="1" t="s">
        <v>295</v>
      </c>
      <c r="B90" s="1">
        <v>2</v>
      </c>
      <c r="C90" s="1" t="s">
        <v>25</v>
      </c>
      <c r="D90" s="1" t="s">
        <v>26</v>
      </c>
      <c r="E90" s="1">
        <v>3</v>
      </c>
      <c r="F90" s="1">
        <v>90</v>
      </c>
      <c r="G90" s="1" t="s">
        <v>38</v>
      </c>
      <c r="H90" s="1">
        <v>7</v>
      </c>
      <c r="I90" s="1">
        <v>0.48299999999999998</v>
      </c>
      <c r="J90" s="1">
        <v>3</v>
      </c>
      <c r="K90" s="1" t="s">
        <v>27</v>
      </c>
      <c r="L90" s="1">
        <f t="shared" si="2"/>
        <v>2</v>
      </c>
      <c r="M90" s="12">
        <f>VLOOKUP(TRIM(A90 &amp; ""), 'planilha crua'!$A$2:$B$10000, 2, FALSE)</f>
        <v>45728</v>
      </c>
      <c r="N90" s="1">
        <f t="shared" si="3"/>
        <v>1</v>
      </c>
    </row>
    <row r="91" spans="1:14" x14ac:dyDescent="0.35">
      <c r="A91" s="1" t="s">
        <v>299</v>
      </c>
      <c r="B91" s="1">
        <v>2</v>
      </c>
      <c r="C91" s="1" t="s">
        <v>25</v>
      </c>
      <c r="D91" s="1" t="s">
        <v>26</v>
      </c>
      <c r="E91" s="1">
        <v>6</v>
      </c>
      <c r="F91" s="1">
        <v>91</v>
      </c>
      <c r="G91" s="1" t="s">
        <v>38</v>
      </c>
      <c r="H91" s="1">
        <v>8</v>
      </c>
      <c r="I91" s="1">
        <v>0.35699999999999998</v>
      </c>
      <c r="J91" s="1">
        <v>1</v>
      </c>
      <c r="K91" s="1" t="s">
        <v>473</v>
      </c>
      <c r="L91" s="1">
        <f t="shared" si="2"/>
        <v>0</v>
      </c>
      <c r="M91" s="12">
        <f>VLOOKUP(TRIM(A91 &amp; ""), 'planilha crua'!$A$2:$B$10000, 2, FALSE)</f>
        <v>45728</v>
      </c>
      <c r="N91" s="1">
        <f t="shared" si="3"/>
        <v>1</v>
      </c>
    </row>
    <row r="92" spans="1:14" x14ac:dyDescent="0.35">
      <c r="A92" s="1" t="s">
        <v>302</v>
      </c>
      <c r="B92" s="1">
        <v>2</v>
      </c>
      <c r="C92" s="1" t="s">
        <v>25</v>
      </c>
      <c r="D92" s="1" t="s">
        <v>26</v>
      </c>
      <c r="E92" s="1">
        <v>6</v>
      </c>
      <c r="F92" s="1">
        <v>92</v>
      </c>
      <c r="G92" s="1" t="s">
        <v>38</v>
      </c>
      <c r="H92" s="1">
        <v>8</v>
      </c>
      <c r="I92" s="1">
        <v>0.58399999999999996</v>
      </c>
      <c r="J92" s="1">
        <v>2</v>
      </c>
      <c r="K92" s="1" t="s">
        <v>27</v>
      </c>
      <c r="L92" s="1">
        <f t="shared" si="2"/>
        <v>1</v>
      </c>
      <c r="M92" s="12">
        <f>VLOOKUP(TRIM(A92 &amp; ""), 'planilha crua'!$A$2:$B$10000, 2, FALSE)</f>
        <v>45728</v>
      </c>
      <c r="N92" s="1">
        <f t="shared" si="3"/>
        <v>1</v>
      </c>
    </row>
    <row r="93" spans="1:14" x14ac:dyDescent="0.35">
      <c r="A93" s="1" t="s">
        <v>312</v>
      </c>
      <c r="B93" s="1">
        <v>2</v>
      </c>
      <c r="C93" s="1" t="s">
        <v>25</v>
      </c>
      <c r="D93" s="1" t="s">
        <v>26</v>
      </c>
      <c r="E93" s="1">
        <v>6</v>
      </c>
      <c r="F93" s="1">
        <v>94</v>
      </c>
      <c r="G93" s="1" t="s">
        <v>38</v>
      </c>
      <c r="H93" s="1">
        <v>8</v>
      </c>
      <c r="I93" s="1">
        <v>0.502</v>
      </c>
      <c r="J93" s="1">
        <v>5</v>
      </c>
      <c r="K93" s="1" t="s">
        <v>27</v>
      </c>
      <c r="L93" s="1">
        <f t="shared" si="2"/>
        <v>4</v>
      </c>
      <c r="M93" s="12">
        <f>VLOOKUP(TRIM(A93 &amp; ""), 'planilha crua'!$A$2:$B$10000, 2, FALSE)</f>
        <v>45728</v>
      </c>
      <c r="N93" s="1">
        <f t="shared" si="3"/>
        <v>1</v>
      </c>
    </row>
    <row r="94" spans="1:14" x14ac:dyDescent="0.35">
      <c r="A94" s="1" t="s">
        <v>325</v>
      </c>
      <c r="B94" s="1">
        <v>2</v>
      </c>
      <c r="C94" s="1" t="s">
        <v>25</v>
      </c>
      <c r="D94" s="1" t="s">
        <v>26</v>
      </c>
      <c r="E94" s="1">
        <v>1</v>
      </c>
      <c r="F94" s="1">
        <v>95</v>
      </c>
      <c r="G94" s="1" t="s">
        <v>38</v>
      </c>
      <c r="H94" s="1">
        <v>9</v>
      </c>
      <c r="I94" s="1">
        <v>0.57099999999999995</v>
      </c>
      <c r="J94" s="1">
        <v>3</v>
      </c>
      <c r="K94" s="1" t="s">
        <v>27</v>
      </c>
      <c r="L94" s="1">
        <f t="shared" si="2"/>
        <v>2</v>
      </c>
      <c r="M94" s="12">
        <f>VLOOKUP(TRIM(A94 &amp; ""), 'planilha crua'!$A$2:$B$10000, 2, FALSE)</f>
        <v>45741</v>
      </c>
      <c r="N94" s="1">
        <f t="shared" si="3"/>
        <v>1</v>
      </c>
    </row>
    <row r="95" spans="1:14" x14ac:dyDescent="0.35">
      <c r="A95" s="1" t="s">
        <v>327</v>
      </c>
      <c r="B95" s="1">
        <v>2</v>
      </c>
      <c r="C95" s="1" t="s">
        <v>25</v>
      </c>
      <c r="D95" s="1" t="s">
        <v>26</v>
      </c>
      <c r="E95" s="1">
        <v>1</v>
      </c>
      <c r="F95" s="1">
        <v>96</v>
      </c>
      <c r="G95" s="1" t="s">
        <v>38</v>
      </c>
      <c r="H95" s="1">
        <v>9</v>
      </c>
      <c r="I95" s="1">
        <v>0.51900000000000002</v>
      </c>
      <c r="J95" s="1">
        <v>1</v>
      </c>
      <c r="K95" s="1" t="s">
        <v>473</v>
      </c>
      <c r="L95" s="1">
        <f t="shared" si="2"/>
        <v>0</v>
      </c>
      <c r="M95" s="12">
        <f>VLOOKUP(TRIM(A95 &amp; ""), 'planilha crua'!$A$2:$B$10000, 2, FALSE)</f>
        <v>45741</v>
      </c>
      <c r="N95" s="1">
        <f t="shared" si="3"/>
        <v>1</v>
      </c>
    </row>
    <row r="96" spans="1:14" x14ac:dyDescent="0.35">
      <c r="A96" s="1" t="s">
        <v>329</v>
      </c>
      <c r="B96" s="1">
        <v>2</v>
      </c>
      <c r="C96" s="1" t="s">
        <v>25</v>
      </c>
      <c r="D96" s="1" t="s">
        <v>26</v>
      </c>
      <c r="E96" s="1">
        <v>1</v>
      </c>
      <c r="F96" s="1">
        <v>97</v>
      </c>
      <c r="G96" s="1" t="s">
        <v>38</v>
      </c>
      <c r="H96" s="1">
        <v>9</v>
      </c>
      <c r="I96" s="1">
        <v>0.34899999999999998</v>
      </c>
      <c r="J96" s="1">
        <v>2</v>
      </c>
      <c r="K96" s="1" t="s">
        <v>27</v>
      </c>
      <c r="L96" s="1">
        <f t="shared" si="2"/>
        <v>1</v>
      </c>
      <c r="M96" s="12">
        <f>VLOOKUP(TRIM(A96 &amp; ""), 'planilha crua'!$A$2:$B$10000, 2, FALSE)</f>
        <v>45741</v>
      </c>
      <c r="N96" s="1">
        <f t="shared" si="3"/>
        <v>1</v>
      </c>
    </row>
    <row r="97" spans="1:14" x14ac:dyDescent="0.35">
      <c r="A97" s="1" t="s">
        <v>333</v>
      </c>
      <c r="B97" s="1">
        <v>2</v>
      </c>
      <c r="C97" s="1" t="s">
        <v>25</v>
      </c>
      <c r="D97" s="1" t="s">
        <v>26</v>
      </c>
      <c r="E97" s="1">
        <v>1</v>
      </c>
      <c r="F97" s="1">
        <v>98</v>
      </c>
      <c r="G97" s="1" t="s">
        <v>38</v>
      </c>
      <c r="H97" s="1">
        <v>9</v>
      </c>
      <c r="I97" s="1">
        <v>0.33300000000000002</v>
      </c>
      <c r="J97" s="1">
        <v>2</v>
      </c>
      <c r="K97" s="1" t="s">
        <v>27</v>
      </c>
      <c r="L97" s="1">
        <f t="shared" si="2"/>
        <v>1</v>
      </c>
      <c r="M97" s="12">
        <f>VLOOKUP(TRIM(A97 &amp; ""), 'planilha crua'!$A$2:$B$10000, 2, FALSE)</f>
        <v>45741</v>
      </c>
      <c r="N97" s="1">
        <f t="shared" si="3"/>
        <v>1</v>
      </c>
    </row>
    <row r="98" spans="1:14" x14ac:dyDescent="0.35">
      <c r="A98" s="1" t="s">
        <v>335</v>
      </c>
      <c r="B98" s="1">
        <v>2</v>
      </c>
      <c r="C98" s="1" t="s">
        <v>25</v>
      </c>
      <c r="D98" s="1" t="s">
        <v>26</v>
      </c>
      <c r="E98" s="1">
        <v>1</v>
      </c>
      <c r="F98" s="1">
        <v>99</v>
      </c>
      <c r="G98" s="1" t="s">
        <v>38</v>
      </c>
      <c r="H98" s="1">
        <v>9</v>
      </c>
      <c r="I98" s="1">
        <v>0.40100000000000002</v>
      </c>
      <c r="J98" s="1">
        <v>3</v>
      </c>
      <c r="K98" s="1" t="s">
        <v>27</v>
      </c>
      <c r="L98" s="1">
        <f t="shared" si="2"/>
        <v>2</v>
      </c>
      <c r="M98" s="12">
        <f>VLOOKUP(TRIM(A98 &amp; ""), 'planilha crua'!$A$2:$B$10000, 2, FALSE)</f>
        <v>45741</v>
      </c>
      <c r="N98" s="1">
        <f t="shared" si="3"/>
        <v>1</v>
      </c>
    </row>
    <row r="99" spans="1:14" x14ac:dyDescent="0.35">
      <c r="A99" s="1" t="s">
        <v>339</v>
      </c>
      <c r="B99" s="1">
        <v>2</v>
      </c>
      <c r="C99" s="1" t="s">
        <v>25</v>
      </c>
      <c r="D99" s="1" t="s">
        <v>26</v>
      </c>
      <c r="E99" s="1">
        <v>1</v>
      </c>
      <c r="F99" s="1">
        <v>100</v>
      </c>
      <c r="G99" s="1" t="s">
        <v>38</v>
      </c>
      <c r="H99" s="1">
        <v>10</v>
      </c>
      <c r="I99" s="1">
        <v>0.51</v>
      </c>
      <c r="J99" s="1">
        <v>2</v>
      </c>
      <c r="K99" s="1" t="s">
        <v>27</v>
      </c>
      <c r="L99" s="1">
        <f t="shared" si="2"/>
        <v>1</v>
      </c>
      <c r="M99" s="12">
        <f>VLOOKUP(TRIM(A99 &amp; ""), 'planilha crua'!$A$2:$B$10000, 2, FALSE)</f>
        <v>45741</v>
      </c>
      <c r="N99" s="1">
        <f t="shared" si="3"/>
        <v>1</v>
      </c>
    </row>
    <row r="100" spans="1:14" x14ac:dyDescent="0.35">
      <c r="A100" s="1" t="s">
        <v>346</v>
      </c>
      <c r="B100" s="1">
        <v>2</v>
      </c>
      <c r="C100" s="1" t="s">
        <v>25</v>
      </c>
      <c r="D100" s="1" t="s">
        <v>26</v>
      </c>
      <c r="E100" s="1">
        <v>1</v>
      </c>
      <c r="F100" s="1">
        <v>102</v>
      </c>
      <c r="G100" s="1" t="s">
        <v>38</v>
      </c>
      <c r="H100" s="1">
        <v>10</v>
      </c>
      <c r="I100" s="1">
        <v>0.50800000000000001</v>
      </c>
      <c r="J100" s="1">
        <v>2</v>
      </c>
      <c r="K100" s="1" t="s">
        <v>27</v>
      </c>
      <c r="L100" s="1">
        <f t="shared" si="2"/>
        <v>1</v>
      </c>
      <c r="M100" s="12">
        <f>VLOOKUP(TRIM(A100 &amp; ""), 'planilha crua'!$A$2:$B$10000, 2, FALSE)</f>
        <v>45741</v>
      </c>
      <c r="N100" s="1">
        <f t="shared" si="3"/>
        <v>1</v>
      </c>
    </row>
    <row r="101" spans="1:14" x14ac:dyDescent="0.35">
      <c r="A101" s="1" t="s">
        <v>348</v>
      </c>
      <c r="B101" s="1">
        <v>2</v>
      </c>
      <c r="C101" s="1" t="s">
        <v>25</v>
      </c>
      <c r="D101" s="1" t="s">
        <v>26</v>
      </c>
      <c r="E101" s="1">
        <v>1</v>
      </c>
      <c r="F101" s="1">
        <v>103</v>
      </c>
      <c r="G101" s="1" t="s">
        <v>38</v>
      </c>
      <c r="H101" s="1">
        <v>10</v>
      </c>
      <c r="I101" s="1">
        <v>0.39700000000000002</v>
      </c>
      <c r="J101" s="1">
        <v>2</v>
      </c>
      <c r="K101" s="1" t="s">
        <v>27</v>
      </c>
      <c r="L101" s="1">
        <f t="shared" si="2"/>
        <v>1</v>
      </c>
      <c r="M101" s="12">
        <f>VLOOKUP(TRIM(A101 &amp; ""), 'planilha crua'!$A$2:$B$10000, 2, FALSE)</f>
        <v>45741</v>
      </c>
      <c r="N101" s="1">
        <f t="shared" si="3"/>
        <v>1</v>
      </c>
    </row>
    <row r="102" spans="1:14" x14ac:dyDescent="0.35">
      <c r="A102" s="1" t="s">
        <v>351</v>
      </c>
      <c r="B102" s="1">
        <v>2</v>
      </c>
      <c r="C102" s="1" t="s">
        <v>25</v>
      </c>
      <c r="D102" s="1" t="s">
        <v>26</v>
      </c>
      <c r="E102" s="1">
        <v>1</v>
      </c>
      <c r="F102" s="1">
        <v>104</v>
      </c>
      <c r="G102" s="1" t="s">
        <v>38</v>
      </c>
      <c r="H102" s="1">
        <v>11</v>
      </c>
      <c r="I102" s="1">
        <v>0.437</v>
      </c>
      <c r="J102" s="1">
        <v>2</v>
      </c>
      <c r="K102" s="1" t="s">
        <v>27</v>
      </c>
      <c r="L102" s="1">
        <f t="shared" si="2"/>
        <v>1</v>
      </c>
      <c r="M102" s="12">
        <f>VLOOKUP(TRIM(A102 &amp; ""), 'planilha crua'!$A$2:$B$10000, 2, FALSE)</f>
        <v>45741</v>
      </c>
      <c r="N102" s="1">
        <f t="shared" si="3"/>
        <v>1</v>
      </c>
    </row>
    <row r="103" spans="1:14" x14ac:dyDescent="0.35">
      <c r="A103" s="1" t="s">
        <v>354</v>
      </c>
      <c r="B103" s="1">
        <v>2</v>
      </c>
      <c r="C103" s="1" t="s">
        <v>25</v>
      </c>
      <c r="D103" s="1" t="s">
        <v>26</v>
      </c>
      <c r="E103" s="1">
        <v>1</v>
      </c>
      <c r="F103" s="1">
        <v>105</v>
      </c>
      <c r="G103" s="1" t="s">
        <v>38</v>
      </c>
      <c r="H103" s="1">
        <v>11</v>
      </c>
      <c r="I103" s="1">
        <v>0.308</v>
      </c>
      <c r="J103" s="1">
        <v>1</v>
      </c>
      <c r="K103" s="1" t="s">
        <v>473</v>
      </c>
      <c r="L103" s="1">
        <f t="shared" si="2"/>
        <v>0</v>
      </c>
      <c r="M103" s="12">
        <f>VLOOKUP(TRIM(A103 &amp; ""), 'planilha crua'!$A$2:$B$10000, 2, FALSE)</f>
        <v>45741</v>
      </c>
      <c r="N103" s="1">
        <f t="shared" si="3"/>
        <v>1</v>
      </c>
    </row>
    <row r="104" spans="1:14" x14ac:dyDescent="0.35">
      <c r="A104" s="1" t="s">
        <v>356</v>
      </c>
      <c r="B104" s="1">
        <v>2</v>
      </c>
      <c r="C104" s="1" t="s">
        <v>25</v>
      </c>
      <c r="D104" s="1" t="s">
        <v>26</v>
      </c>
      <c r="E104" s="1">
        <v>1</v>
      </c>
      <c r="F104" s="1">
        <v>106</v>
      </c>
      <c r="G104" s="1" t="s">
        <v>38</v>
      </c>
      <c r="H104" s="1">
        <v>11</v>
      </c>
      <c r="I104" s="1">
        <v>0.51600000000000001</v>
      </c>
      <c r="J104" s="1">
        <v>2</v>
      </c>
      <c r="K104" s="1" t="s">
        <v>27</v>
      </c>
      <c r="L104" s="1">
        <f t="shared" si="2"/>
        <v>1</v>
      </c>
      <c r="M104" s="12">
        <f>VLOOKUP(TRIM(A104 &amp; ""), 'planilha crua'!$A$2:$B$10000, 2, FALSE)</f>
        <v>45741</v>
      </c>
      <c r="N104" s="1">
        <f t="shared" si="3"/>
        <v>1</v>
      </c>
    </row>
    <row r="105" spans="1:14" x14ac:dyDescent="0.35">
      <c r="A105" s="1" t="s">
        <v>359</v>
      </c>
      <c r="B105" s="1">
        <v>2</v>
      </c>
      <c r="C105" s="1" t="s">
        <v>25</v>
      </c>
      <c r="D105" s="1" t="s">
        <v>26</v>
      </c>
      <c r="E105" s="1">
        <v>1</v>
      </c>
      <c r="F105" s="1">
        <v>107</v>
      </c>
      <c r="G105" s="1" t="s">
        <v>38</v>
      </c>
      <c r="H105" s="1">
        <v>11</v>
      </c>
      <c r="I105" s="1">
        <v>0.45500000000000002</v>
      </c>
      <c r="J105" s="1">
        <v>2</v>
      </c>
      <c r="K105" s="1" t="s">
        <v>27</v>
      </c>
      <c r="L105" s="1">
        <f t="shared" si="2"/>
        <v>1</v>
      </c>
      <c r="M105" s="12">
        <f>VLOOKUP(TRIM(A105 &amp; ""), 'planilha crua'!$A$2:$B$10000, 2, FALSE)</f>
        <v>45741</v>
      </c>
      <c r="N105" s="1">
        <f t="shared" si="3"/>
        <v>1</v>
      </c>
    </row>
    <row r="106" spans="1:14" x14ac:dyDescent="0.35">
      <c r="A106" s="1" t="s">
        <v>361</v>
      </c>
      <c r="B106" s="1">
        <v>2</v>
      </c>
      <c r="C106" s="1" t="s">
        <v>25</v>
      </c>
      <c r="D106" s="1" t="s">
        <v>26</v>
      </c>
      <c r="E106" s="1">
        <v>1</v>
      </c>
      <c r="F106" s="1">
        <v>108</v>
      </c>
      <c r="G106" s="1" t="s">
        <v>27</v>
      </c>
      <c r="H106" s="1">
        <v>48</v>
      </c>
      <c r="I106" s="1">
        <v>0.40400000000000003</v>
      </c>
      <c r="J106" s="1">
        <v>1</v>
      </c>
      <c r="K106" s="1" t="s">
        <v>473</v>
      </c>
      <c r="L106" s="1">
        <f t="shared" si="2"/>
        <v>0</v>
      </c>
      <c r="M106" s="12">
        <f>VLOOKUP(TRIM(A106 &amp; ""), 'planilha crua'!$A$2:$B$10000, 2, FALSE)</f>
        <v>45755</v>
      </c>
      <c r="N106" s="1">
        <f t="shared" si="3"/>
        <v>2</v>
      </c>
    </row>
    <row r="107" spans="1:14" x14ac:dyDescent="0.35">
      <c r="A107" s="1" t="s">
        <v>363</v>
      </c>
      <c r="B107" s="1">
        <v>2</v>
      </c>
      <c r="C107" s="1" t="s">
        <v>25</v>
      </c>
      <c r="D107" s="1" t="s">
        <v>26</v>
      </c>
      <c r="E107" s="1">
        <v>1</v>
      </c>
      <c r="F107" s="1">
        <v>109</v>
      </c>
      <c r="G107" s="1" t="s">
        <v>27</v>
      </c>
      <c r="H107" s="1">
        <v>49</v>
      </c>
      <c r="I107" s="1">
        <v>0.44700000000000001</v>
      </c>
      <c r="J107" s="1">
        <v>2</v>
      </c>
      <c r="K107" s="1" t="s">
        <v>27</v>
      </c>
      <c r="L107" s="1">
        <f t="shared" si="2"/>
        <v>1</v>
      </c>
      <c r="M107" s="12">
        <f>VLOOKUP(TRIM(A107 &amp; ""), 'planilha crua'!$A$2:$B$10000, 2, FALSE)</f>
        <v>45755</v>
      </c>
      <c r="N107" s="1">
        <f t="shared" si="3"/>
        <v>2</v>
      </c>
    </row>
    <row r="108" spans="1:14" x14ac:dyDescent="0.35">
      <c r="A108" s="1" t="s">
        <v>366</v>
      </c>
      <c r="B108" s="1">
        <v>2</v>
      </c>
      <c r="C108" s="1" t="s">
        <v>25</v>
      </c>
      <c r="D108" s="1" t="s">
        <v>26</v>
      </c>
      <c r="E108" s="1">
        <v>1</v>
      </c>
      <c r="F108" s="1">
        <v>110</v>
      </c>
      <c r="G108" s="1" t="s">
        <v>27</v>
      </c>
      <c r="H108" s="1">
        <v>50</v>
      </c>
      <c r="I108" s="1">
        <v>0.34699999999999998</v>
      </c>
      <c r="J108" s="1">
        <v>1</v>
      </c>
      <c r="K108" s="1" t="s">
        <v>473</v>
      </c>
      <c r="L108" s="1">
        <f t="shared" si="2"/>
        <v>0</v>
      </c>
      <c r="M108" s="12">
        <f>VLOOKUP(TRIM(A108 &amp; ""), 'planilha crua'!$A$2:$B$10000, 2, FALSE)</f>
        <v>45755</v>
      </c>
      <c r="N108" s="1">
        <f t="shared" si="3"/>
        <v>2</v>
      </c>
    </row>
    <row r="109" spans="1:14" x14ac:dyDescent="0.35">
      <c r="A109" s="1" t="s">
        <v>369</v>
      </c>
      <c r="B109" s="1">
        <v>2</v>
      </c>
      <c r="C109" s="1" t="s">
        <v>25</v>
      </c>
      <c r="D109" s="1" t="s">
        <v>26</v>
      </c>
      <c r="E109" s="1">
        <v>1</v>
      </c>
      <c r="F109" s="1">
        <v>111</v>
      </c>
      <c r="G109" s="1" t="s">
        <v>27</v>
      </c>
      <c r="H109" s="1">
        <v>51</v>
      </c>
      <c r="I109" s="1">
        <v>0.49099999999999999</v>
      </c>
      <c r="J109" s="1">
        <v>2</v>
      </c>
      <c r="K109" s="1" t="s">
        <v>27</v>
      </c>
      <c r="L109" s="1">
        <f t="shared" si="2"/>
        <v>1</v>
      </c>
      <c r="M109" s="12">
        <f>VLOOKUP(TRIM(A109 &amp; ""), 'planilha crua'!$A$2:$B$10000, 2, FALSE)</f>
        <v>45755</v>
      </c>
      <c r="N109" s="1">
        <f t="shared" si="3"/>
        <v>2</v>
      </c>
    </row>
    <row r="110" spans="1:14" x14ac:dyDescent="0.35">
      <c r="A110" s="1" t="s">
        <v>373</v>
      </c>
      <c r="B110" s="1">
        <v>2</v>
      </c>
      <c r="C110" s="1" t="s">
        <v>25</v>
      </c>
      <c r="D110" s="1" t="s">
        <v>26</v>
      </c>
      <c r="E110" s="1">
        <v>1</v>
      </c>
      <c r="F110" s="1">
        <v>112</v>
      </c>
      <c r="G110" s="1" t="s">
        <v>27</v>
      </c>
      <c r="H110" s="1">
        <v>52</v>
      </c>
      <c r="I110" s="1">
        <v>0.54400000000000004</v>
      </c>
      <c r="J110" s="1">
        <v>1</v>
      </c>
      <c r="K110" s="1" t="s">
        <v>473</v>
      </c>
      <c r="L110" s="1">
        <f t="shared" si="2"/>
        <v>0</v>
      </c>
      <c r="M110" s="12">
        <f>VLOOKUP(TRIM(A110 &amp; ""), 'planilha crua'!$A$2:$B$10000, 2, FALSE)</f>
        <v>45755</v>
      </c>
      <c r="N110" s="1">
        <f t="shared" si="3"/>
        <v>2</v>
      </c>
    </row>
    <row r="111" spans="1:14" x14ac:dyDescent="0.35">
      <c r="A111" s="1" t="s">
        <v>376</v>
      </c>
      <c r="B111" s="1">
        <v>2</v>
      </c>
      <c r="C111" s="1" t="s">
        <v>25</v>
      </c>
      <c r="D111" s="1" t="s">
        <v>26</v>
      </c>
      <c r="E111" s="1">
        <v>4</v>
      </c>
      <c r="F111" s="1">
        <v>113</v>
      </c>
      <c r="G111" s="1" t="s">
        <v>27</v>
      </c>
      <c r="H111" s="1">
        <v>53</v>
      </c>
      <c r="I111" s="1">
        <v>0.46500000000000002</v>
      </c>
      <c r="J111" s="1">
        <v>2</v>
      </c>
      <c r="K111" s="1" t="s">
        <v>27</v>
      </c>
      <c r="L111" s="1">
        <f t="shared" si="2"/>
        <v>1</v>
      </c>
      <c r="M111" s="12">
        <f>VLOOKUP(TRIM(A111 &amp; ""), 'planilha crua'!$A$2:$B$10000, 2, FALSE)</f>
        <v>45755</v>
      </c>
      <c r="N111" s="1">
        <f t="shared" si="3"/>
        <v>2</v>
      </c>
    </row>
    <row r="112" spans="1:14" x14ac:dyDescent="0.35">
      <c r="A112" s="1" t="s">
        <v>379</v>
      </c>
      <c r="B112" s="1">
        <v>2</v>
      </c>
      <c r="C112" s="1" t="s">
        <v>25</v>
      </c>
      <c r="D112" s="1" t="s">
        <v>26</v>
      </c>
      <c r="E112" s="1">
        <v>4</v>
      </c>
      <c r="F112" s="1">
        <v>114</v>
      </c>
      <c r="G112" s="1" t="s">
        <v>27</v>
      </c>
      <c r="H112" s="1">
        <v>54</v>
      </c>
      <c r="I112" s="1">
        <v>0.52500000000000002</v>
      </c>
      <c r="J112" s="1">
        <v>2</v>
      </c>
      <c r="K112" s="1" t="s">
        <v>27</v>
      </c>
      <c r="L112" s="1">
        <f t="shared" si="2"/>
        <v>1</v>
      </c>
      <c r="M112" s="12">
        <f>VLOOKUP(TRIM(A112 &amp; ""), 'planilha crua'!$A$2:$B$10000, 2, FALSE)</f>
        <v>45755</v>
      </c>
      <c r="N112" s="1">
        <f t="shared" si="3"/>
        <v>2</v>
      </c>
    </row>
    <row r="113" spans="1:14" x14ac:dyDescent="0.35">
      <c r="A113" s="1" t="s">
        <v>382</v>
      </c>
      <c r="B113" s="1">
        <v>2</v>
      </c>
      <c r="C113" s="1" t="s">
        <v>25</v>
      </c>
      <c r="D113" s="1" t="s">
        <v>26</v>
      </c>
      <c r="E113" s="1">
        <v>4</v>
      </c>
      <c r="F113" s="1">
        <v>115</v>
      </c>
      <c r="G113" s="1" t="s">
        <v>27</v>
      </c>
      <c r="H113" s="1">
        <v>55</v>
      </c>
      <c r="I113" s="1">
        <v>0.55900000000000005</v>
      </c>
      <c r="J113" s="1">
        <v>2</v>
      </c>
      <c r="K113" s="1" t="s">
        <v>27</v>
      </c>
      <c r="L113" s="1">
        <f t="shared" si="2"/>
        <v>1</v>
      </c>
      <c r="M113" s="12">
        <f>VLOOKUP(TRIM(A113 &amp; ""), 'planilha crua'!$A$2:$B$10000, 2, FALSE)</f>
        <v>45755</v>
      </c>
      <c r="N113" s="1">
        <f t="shared" si="3"/>
        <v>2</v>
      </c>
    </row>
    <row r="114" spans="1:14" x14ac:dyDescent="0.35">
      <c r="A114" s="1" t="s">
        <v>385</v>
      </c>
      <c r="B114" s="1">
        <v>2</v>
      </c>
      <c r="C114" s="1" t="s">
        <v>25</v>
      </c>
      <c r="D114" s="1" t="s">
        <v>26</v>
      </c>
      <c r="E114" s="1">
        <v>4</v>
      </c>
      <c r="F114" s="1">
        <v>116</v>
      </c>
      <c r="G114" s="1" t="s">
        <v>27</v>
      </c>
      <c r="H114" s="1">
        <v>56</v>
      </c>
      <c r="I114" s="1">
        <v>0.58899999999999997</v>
      </c>
      <c r="J114" s="1">
        <v>3</v>
      </c>
      <c r="K114" s="1" t="s">
        <v>27</v>
      </c>
      <c r="L114" s="1">
        <f t="shared" si="2"/>
        <v>2</v>
      </c>
      <c r="M114" s="12">
        <f>VLOOKUP(TRIM(A114 &amp; ""), 'planilha crua'!$A$2:$B$10000, 2, FALSE)</f>
        <v>45755</v>
      </c>
      <c r="N114" s="1">
        <f t="shared" si="3"/>
        <v>2</v>
      </c>
    </row>
    <row r="115" spans="1:14" x14ac:dyDescent="0.35">
      <c r="A115" s="1" t="s">
        <v>390</v>
      </c>
      <c r="B115" s="1">
        <v>2</v>
      </c>
      <c r="C115" s="1" t="s">
        <v>25</v>
      </c>
      <c r="D115" s="1" t="s">
        <v>26</v>
      </c>
      <c r="E115" s="1">
        <v>1</v>
      </c>
      <c r="F115" s="1">
        <v>117</v>
      </c>
      <c r="G115" s="1" t="s">
        <v>27</v>
      </c>
      <c r="H115" s="1">
        <v>57</v>
      </c>
      <c r="I115" s="1">
        <v>0.51700000000000002</v>
      </c>
      <c r="J115" s="1">
        <v>1</v>
      </c>
      <c r="K115" s="1" t="s">
        <v>473</v>
      </c>
      <c r="L115" s="1">
        <f t="shared" si="2"/>
        <v>0</v>
      </c>
      <c r="M115" s="12">
        <f>VLOOKUP(TRIM(A115 &amp; ""), 'planilha crua'!$A$2:$B$10000, 2, FALSE)</f>
        <v>45756</v>
      </c>
      <c r="N115" s="1">
        <f t="shared" si="3"/>
        <v>2</v>
      </c>
    </row>
    <row r="116" spans="1:14" x14ac:dyDescent="0.35">
      <c r="A116" s="1" t="s">
        <v>392</v>
      </c>
      <c r="B116" s="1">
        <v>2</v>
      </c>
      <c r="C116" s="1" t="s">
        <v>25</v>
      </c>
      <c r="D116" s="1" t="s">
        <v>26</v>
      </c>
      <c r="E116" s="1">
        <v>4</v>
      </c>
      <c r="F116" s="1">
        <v>118</v>
      </c>
      <c r="G116" s="1" t="s">
        <v>27</v>
      </c>
      <c r="H116" s="1">
        <v>58</v>
      </c>
      <c r="I116" s="1">
        <v>0.52100000000000002</v>
      </c>
      <c r="J116" s="1">
        <v>1</v>
      </c>
      <c r="K116" s="1" t="s">
        <v>473</v>
      </c>
      <c r="L116" s="1">
        <f t="shared" si="2"/>
        <v>0</v>
      </c>
      <c r="M116" s="12">
        <f>VLOOKUP(TRIM(A116 &amp; ""), 'planilha crua'!$A$2:$B$10000, 2, FALSE)</f>
        <v>45756</v>
      </c>
      <c r="N116" s="1">
        <f t="shared" si="3"/>
        <v>2</v>
      </c>
    </row>
    <row r="117" spans="1:14" x14ac:dyDescent="0.35">
      <c r="A117" s="1" t="s">
        <v>394</v>
      </c>
      <c r="B117" s="1">
        <v>2</v>
      </c>
      <c r="C117" s="1" t="s">
        <v>25</v>
      </c>
      <c r="D117" s="1" t="s">
        <v>26</v>
      </c>
      <c r="E117" s="1">
        <v>2</v>
      </c>
      <c r="F117" s="1">
        <v>119</v>
      </c>
      <c r="G117" s="1" t="s">
        <v>27</v>
      </c>
      <c r="H117" s="1">
        <v>59</v>
      </c>
      <c r="I117" s="1">
        <v>0.48699999999999999</v>
      </c>
      <c r="J117" s="1">
        <v>2</v>
      </c>
      <c r="K117" s="1" t="s">
        <v>27</v>
      </c>
      <c r="L117" s="1">
        <f t="shared" si="2"/>
        <v>1</v>
      </c>
      <c r="M117" s="12">
        <f>VLOOKUP(TRIM(A117 &amp; ""), 'planilha crua'!$A$2:$B$10000, 2, FALSE)</f>
        <v>45756</v>
      </c>
      <c r="N117" s="1">
        <f t="shared" si="3"/>
        <v>2</v>
      </c>
    </row>
    <row r="118" spans="1:14" x14ac:dyDescent="0.35">
      <c r="A118" s="1" t="s">
        <v>397</v>
      </c>
      <c r="B118" s="1">
        <v>2</v>
      </c>
      <c r="C118" s="1" t="s">
        <v>25</v>
      </c>
      <c r="D118" s="1" t="s">
        <v>26</v>
      </c>
      <c r="E118" s="1">
        <v>2</v>
      </c>
      <c r="F118" s="1">
        <v>120</v>
      </c>
      <c r="G118" s="1" t="s">
        <v>27</v>
      </c>
      <c r="H118" s="1">
        <v>60</v>
      </c>
      <c r="I118" s="1">
        <v>0.42699999999999999</v>
      </c>
      <c r="J118" s="1">
        <v>2</v>
      </c>
      <c r="K118" s="1" t="s">
        <v>27</v>
      </c>
      <c r="L118" s="1">
        <f t="shared" si="2"/>
        <v>1</v>
      </c>
      <c r="M118" s="12">
        <f>VLOOKUP(TRIM(A118 &amp; ""), 'planilha crua'!$A$2:$B$10000, 2, FALSE)</f>
        <v>45756</v>
      </c>
      <c r="N118" s="1">
        <f t="shared" si="3"/>
        <v>2</v>
      </c>
    </row>
    <row r="119" spans="1:14" x14ac:dyDescent="0.35">
      <c r="A119" s="1" t="s">
        <v>400</v>
      </c>
      <c r="B119" s="1">
        <v>2</v>
      </c>
      <c r="C119" s="1" t="s">
        <v>25</v>
      </c>
      <c r="D119" s="1" t="s">
        <v>26</v>
      </c>
      <c r="E119" s="1">
        <v>7</v>
      </c>
      <c r="F119" s="1">
        <v>121</v>
      </c>
      <c r="G119" s="1" t="s">
        <v>27</v>
      </c>
      <c r="H119" s="1">
        <v>61</v>
      </c>
      <c r="I119" s="1">
        <v>0.46</v>
      </c>
      <c r="J119" s="1">
        <v>2</v>
      </c>
      <c r="K119" s="1" t="s">
        <v>27</v>
      </c>
      <c r="L119" s="1">
        <f t="shared" si="2"/>
        <v>1</v>
      </c>
      <c r="M119" s="12">
        <f>VLOOKUP(TRIM(A119 &amp; ""), 'planilha crua'!$A$2:$B$10000, 2, FALSE)</f>
        <v>45756</v>
      </c>
      <c r="N119" s="1">
        <f t="shared" si="3"/>
        <v>2</v>
      </c>
    </row>
    <row r="120" spans="1:14" x14ac:dyDescent="0.35">
      <c r="A120" s="1" t="s">
        <v>403</v>
      </c>
      <c r="B120" s="1">
        <v>2</v>
      </c>
      <c r="C120" s="1" t="s">
        <v>25</v>
      </c>
      <c r="D120" s="1" t="s">
        <v>26</v>
      </c>
      <c r="E120" s="1">
        <v>7</v>
      </c>
      <c r="F120" s="1">
        <v>122</v>
      </c>
      <c r="G120" s="1" t="s">
        <v>27</v>
      </c>
      <c r="H120" s="1">
        <v>62</v>
      </c>
      <c r="I120" s="1">
        <v>0.53500000000000003</v>
      </c>
      <c r="J120" s="1">
        <v>3</v>
      </c>
      <c r="K120" s="1" t="s">
        <v>27</v>
      </c>
      <c r="L120" s="1">
        <f t="shared" si="2"/>
        <v>2</v>
      </c>
      <c r="M120" s="12">
        <f>VLOOKUP(TRIM(A120 &amp; ""), 'planilha crua'!$A$2:$B$10000, 2, FALSE)</f>
        <v>45756</v>
      </c>
      <c r="N120" s="1">
        <f t="shared" si="3"/>
        <v>2</v>
      </c>
    </row>
    <row r="121" spans="1:14" x14ac:dyDescent="0.35">
      <c r="A121" s="1" t="s">
        <v>407</v>
      </c>
      <c r="B121" s="1">
        <v>2</v>
      </c>
      <c r="C121" s="1" t="s">
        <v>25</v>
      </c>
      <c r="D121" s="1" t="s">
        <v>26</v>
      </c>
      <c r="E121" s="1">
        <v>6</v>
      </c>
      <c r="F121" s="1">
        <v>123</v>
      </c>
      <c r="G121" s="1" t="s">
        <v>27</v>
      </c>
      <c r="H121" s="1">
        <v>63</v>
      </c>
      <c r="I121" s="1">
        <v>0.55400000000000005</v>
      </c>
      <c r="J121" s="1">
        <v>2</v>
      </c>
      <c r="K121" s="1" t="s">
        <v>27</v>
      </c>
      <c r="L121" s="1">
        <f t="shared" si="2"/>
        <v>1</v>
      </c>
      <c r="M121" s="12">
        <f>VLOOKUP(TRIM(A121 &amp; ""), 'planilha crua'!$A$2:$B$10000, 2, FALSE)</f>
        <v>45756</v>
      </c>
      <c r="N121" s="1">
        <f t="shared" si="3"/>
        <v>2</v>
      </c>
    </row>
    <row r="122" spans="1:14" x14ac:dyDescent="0.35">
      <c r="A122" s="1" t="s">
        <v>410</v>
      </c>
      <c r="B122" s="1">
        <v>2</v>
      </c>
      <c r="C122" s="1" t="s">
        <v>25</v>
      </c>
      <c r="D122" s="1" t="s">
        <v>26</v>
      </c>
      <c r="E122" s="1">
        <v>3</v>
      </c>
      <c r="F122" s="1">
        <v>124</v>
      </c>
      <c r="G122" s="1" t="s">
        <v>27</v>
      </c>
      <c r="H122" s="1">
        <v>64</v>
      </c>
      <c r="I122" s="1">
        <v>0.48</v>
      </c>
      <c r="J122" s="1">
        <v>2</v>
      </c>
      <c r="K122" s="1" t="s">
        <v>27</v>
      </c>
      <c r="L122" s="1">
        <f t="shared" si="2"/>
        <v>1</v>
      </c>
      <c r="M122" s="12">
        <f>VLOOKUP(TRIM(A122 &amp; ""), 'planilha crua'!$A$2:$B$10000, 2, FALSE)</f>
        <v>45756</v>
      </c>
      <c r="N122" s="1">
        <f t="shared" si="3"/>
        <v>2</v>
      </c>
    </row>
    <row r="123" spans="1:14" x14ac:dyDescent="0.35">
      <c r="A123" s="1" t="s">
        <v>413</v>
      </c>
      <c r="B123" s="1">
        <v>2</v>
      </c>
      <c r="C123" s="1" t="s">
        <v>25</v>
      </c>
      <c r="D123" s="1" t="s">
        <v>26</v>
      </c>
      <c r="E123" s="1">
        <v>3</v>
      </c>
      <c r="F123" s="1">
        <v>125</v>
      </c>
      <c r="G123" s="1" t="s">
        <v>27</v>
      </c>
      <c r="H123" s="1">
        <v>65</v>
      </c>
      <c r="I123" s="1">
        <v>0.49299999999999999</v>
      </c>
      <c r="J123" s="1">
        <v>3</v>
      </c>
      <c r="K123" s="1" t="s">
        <v>27</v>
      </c>
      <c r="L123" s="1">
        <f t="shared" si="2"/>
        <v>2</v>
      </c>
      <c r="M123" s="12">
        <f>VLOOKUP(TRIM(A123 &amp; ""), 'planilha crua'!$A$2:$B$10000, 2, FALSE)</f>
        <v>45756</v>
      </c>
      <c r="N123" s="1">
        <f t="shared" si="3"/>
        <v>2</v>
      </c>
    </row>
    <row r="124" spans="1:14" x14ac:dyDescent="0.35">
      <c r="A124" s="1" t="s">
        <v>416</v>
      </c>
      <c r="B124" s="1">
        <v>2</v>
      </c>
      <c r="C124" s="1" t="s">
        <v>25</v>
      </c>
      <c r="D124" s="1" t="s">
        <v>26</v>
      </c>
      <c r="E124" s="1">
        <v>3</v>
      </c>
      <c r="F124" s="1">
        <v>126</v>
      </c>
      <c r="G124" s="1" t="s">
        <v>27</v>
      </c>
      <c r="H124" s="1">
        <v>66</v>
      </c>
      <c r="I124" s="1">
        <v>0.47799999999999998</v>
      </c>
      <c r="J124" s="1">
        <v>2</v>
      </c>
      <c r="K124" s="1" t="s">
        <v>27</v>
      </c>
      <c r="L124" s="1">
        <f t="shared" si="2"/>
        <v>1</v>
      </c>
      <c r="M124" s="12">
        <f>VLOOKUP(TRIM(A124 &amp; ""), 'planilha crua'!$A$2:$B$10000, 2, FALSE)</f>
        <v>45756</v>
      </c>
      <c r="N124" s="1">
        <f t="shared" si="3"/>
        <v>2</v>
      </c>
    </row>
    <row r="125" spans="1:14" x14ac:dyDescent="0.35">
      <c r="A125" s="1" t="s">
        <v>419</v>
      </c>
      <c r="B125" s="1">
        <v>2</v>
      </c>
      <c r="C125" s="1" t="s">
        <v>25</v>
      </c>
      <c r="D125" s="1" t="s">
        <v>26</v>
      </c>
      <c r="E125" s="1">
        <v>3</v>
      </c>
      <c r="F125" s="1">
        <v>127</v>
      </c>
      <c r="G125" s="1" t="s">
        <v>27</v>
      </c>
      <c r="H125" s="1">
        <v>67</v>
      </c>
      <c r="I125" s="1">
        <v>0.47899999999999998</v>
      </c>
      <c r="J125" s="1">
        <v>2</v>
      </c>
      <c r="K125" s="1" t="s">
        <v>27</v>
      </c>
      <c r="L125" s="1">
        <f t="shared" si="2"/>
        <v>1</v>
      </c>
      <c r="M125" s="12">
        <f>VLOOKUP(TRIM(A125 &amp; ""), 'planilha crua'!$A$2:$B$10000, 2, FALSE)</f>
        <v>45756</v>
      </c>
      <c r="N125" s="1">
        <f t="shared" si="3"/>
        <v>2</v>
      </c>
    </row>
    <row r="126" spans="1:14" x14ac:dyDescent="0.35">
      <c r="A126" s="1" t="s">
        <v>424</v>
      </c>
      <c r="B126" s="1">
        <v>2</v>
      </c>
      <c r="C126" s="1" t="s">
        <v>25</v>
      </c>
      <c r="D126" s="1" t="s">
        <v>26</v>
      </c>
      <c r="E126" s="1">
        <v>3</v>
      </c>
      <c r="F126" s="1">
        <v>129</v>
      </c>
      <c r="G126" s="1" t="s">
        <v>27</v>
      </c>
      <c r="H126" s="1">
        <v>68</v>
      </c>
      <c r="I126" s="1">
        <v>0.51300000000000001</v>
      </c>
      <c r="J126" s="1">
        <v>2</v>
      </c>
      <c r="K126" s="1" t="s">
        <v>27</v>
      </c>
      <c r="L126" s="1">
        <f t="shared" si="2"/>
        <v>1</v>
      </c>
      <c r="M126" s="12">
        <f>VLOOKUP(TRIM(A126 &amp; ""), 'planilha crua'!$A$2:$B$10000, 2, FALSE)</f>
        <v>45756</v>
      </c>
      <c r="N126" s="1">
        <f t="shared" si="3"/>
        <v>2</v>
      </c>
    </row>
    <row r="127" spans="1:14" x14ac:dyDescent="0.35">
      <c r="A127" s="1" t="s">
        <v>427</v>
      </c>
      <c r="B127" s="1">
        <v>2</v>
      </c>
      <c r="C127" s="1" t="s">
        <v>25</v>
      </c>
      <c r="D127" s="1" t="s">
        <v>26</v>
      </c>
      <c r="E127" s="1">
        <v>3</v>
      </c>
      <c r="F127" s="1">
        <v>130</v>
      </c>
      <c r="G127" s="1" t="s">
        <v>27</v>
      </c>
      <c r="H127" s="1">
        <v>69</v>
      </c>
      <c r="I127" s="1">
        <v>0.49299999999999999</v>
      </c>
      <c r="J127" s="1">
        <v>1</v>
      </c>
      <c r="K127" s="1" t="s">
        <v>473</v>
      </c>
      <c r="L127" s="1">
        <f t="shared" si="2"/>
        <v>0</v>
      </c>
      <c r="M127" s="12">
        <f>VLOOKUP(TRIM(A127 &amp; ""), 'planilha crua'!$A$2:$B$10000, 2, FALSE)</f>
        <v>45756</v>
      </c>
      <c r="N127" s="1">
        <f t="shared" si="3"/>
        <v>2</v>
      </c>
    </row>
    <row r="128" spans="1:14" x14ac:dyDescent="0.35">
      <c r="A128" s="1" t="s">
        <v>429</v>
      </c>
      <c r="B128" s="1">
        <v>2</v>
      </c>
      <c r="C128" s="1" t="s">
        <v>25</v>
      </c>
      <c r="D128" s="1" t="s">
        <v>26</v>
      </c>
      <c r="E128" s="1">
        <v>3</v>
      </c>
      <c r="F128" s="1">
        <v>131</v>
      </c>
      <c r="G128" s="1" t="s">
        <v>27</v>
      </c>
      <c r="H128" s="1">
        <v>70</v>
      </c>
      <c r="I128" s="1">
        <v>0.50800000000000001</v>
      </c>
      <c r="J128" s="1">
        <v>2</v>
      </c>
      <c r="K128" s="1" t="s">
        <v>27</v>
      </c>
      <c r="L128" s="1">
        <f t="shared" si="2"/>
        <v>1</v>
      </c>
      <c r="M128" s="12">
        <f>VLOOKUP(TRIM(A128 &amp; ""), 'planilha crua'!$A$2:$B$10000, 2, FALSE)</f>
        <v>45756</v>
      </c>
      <c r="N128" s="1">
        <f t="shared" si="3"/>
        <v>2</v>
      </c>
    </row>
    <row r="129" spans="1:14" x14ac:dyDescent="0.35">
      <c r="A129" s="1" t="s">
        <v>432</v>
      </c>
      <c r="B129" s="1">
        <v>2</v>
      </c>
      <c r="C129" s="1" t="s">
        <v>25</v>
      </c>
      <c r="D129" s="1" t="s">
        <v>26</v>
      </c>
      <c r="E129" s="1">
        <v>3</v>
      </c>
      <c r="F129" s="1">
        <v>132</v>
      </c>
      <c r="G129" s="1" t="s">
        <v>27</v>
      </c>
      <c r="H129" s="1">
        <v>71</v>
      </c>
      <c r="I129" s="1">
        <v>0.47099999999999997</v>
      </c>
      <c r="J129" s="1">
        <v>2</v>
      </c>
      <c r="K129" s="1" t="s">
        <v>27</v>
      </c>
      <c r="L129" s="1">
        <f t="shared" si="2"/>
        <v>1</v>
      </c>
      <c r="M129" s="12">
        <f>VLOOKUP(TRIM(A129 &amp; ""), 'planilha crua'!$A$2:$B$10000, 2, FALSE)</f>
        <v>45756</v>
      </c>
      <c r="N129" s="1">
        <f t="shared" si="3"/>
        <v>2</v>
      </c>
    </row>
    <row r="130" spans="1:14" x14ac:dyDescent="0.35">
      <c r="A130" s="1" t="s">
        <v>435</v>
      </c>
      <c r="B130" s="1">
        <v>2</v>
      </c>
      <c r="C130" s="1" t="s">
        <v>25</v>
      </c>
      <c r="D130" s="1" t="s">
        <v>26</v>
      </c>
      <c r="E130" s="1">
        <v>1</v>
      </c>
      <c r="F130" s="1">
        <v>133</v>
      </c>
      <c r="G130" s="1" t="s">
        <v>27</v>
      </c>
      <c r="H130" s="1">
        <v>72</v>
      </c>
      <c r="I130" s="1">
        <v>0.47299999999999998</v>
      </c>
      <c r="J130" s="1">
        <v>2</v>
      </c>
      <c r="K130" s="1" t="s">
        <v>27</v>
      </c>
      <c r="L130" s="1">
        <f t="shared" si="2"/>
        <v>1</v>
      </c>
      <c r="M130" s="12">
        <f>VLOOKUP(TRIM(A130 &amp; ""), 'planilha crua'!$A$2:$B$10000, 2, FALSE)</f>
        <v>45756</v>
      </c>
      <c r="N130" s="1">
        <f t="shared" si="3"/>
        <v>2</v>
      </c>
    </row>
    <row r="131" spans="1:14" x14ac:dyDescent="0.35">
      <c r="A131" s="1" t="s">
        <v>438</v>
      </c>
      <c r="B131" s="1">
        <v>2</v>
      </c>
      <c r="C131" s="1" t="s">
        <v>25</v>
      </c>
      <c r="D131" s="1" t="s">
        <v>26</v>
      </c>
      <c r="E131" s="1">
        <v>5</v>
      </c>
      <c r="F131" s="1">
        <v>134</v>
      </c>
      <c r="G131" s="1" t="s">
        <v>38</v>
      </c>
      <c r="H131" s="1">
        <v>12</v>
      </c>
      <c r="I131" s="1">
        <v>0.53300000000000003</v>
      </c>
      <c r="J131" s="1">
        <v>2</v>
      </c>
      <c r="K131" s="1" t="s">
        <v>27</v>
      </c>
      <c r="L131" s="1">
        <f t="shared" ref="L131:L133" si="4">J131-1</f>
        <v>1</v>
      </c>
      <c r="M131" s="12">
        <f>VLOOKUP(TRIM(A131 &amp; ""), 'planilha crua'!$A$2:$B$10000, 2, FALSE)</f>
        <v>45775</v>
      </c>
      <c r="N131" s="1">
        <f t="shared" ref="N131:N133" si="5">INT((DATE(2000, MONTH(M131), DAY(M131)) - DATE(2000, 3, 12)) / 15) + 1</f>
        <v>4</v>
      </c>
    </row>
    <row r="132" spans="1:14" x14ac:dyDescent="0.35">
      <c r="A132" s="1" t="s">
        <v>441</v>
      </c>
      <c r="B132" s="1">
        <v>2</v>
      </c>
      <c r="C132" s="1" t="s">
        <v>25</v>
      </c>
      <c r="D132" s="1" t="s">
        <v>26</v>
      </c>
      <c r="E132" s="1">
        <v>5</v>
      </c>
      <c r="F132" s="1">
        <v>135</v>
      </c>
      <c r="G132" s="1" t="s">
        <v>38</v>
      </c>
      <c r="H132" s="1">
        <v>12</v>
      </c>
      <c r="I132" s="1">
        <v>0.505</v>
      </c>
      <c r="J132" s="1">
        <v>2</v>
      </c>
      <c r="K132" s="1" t="s">
        <v>27</v>
      </c>
      <c r="L132" s="1">
        <f t="shared" si="4"/>
        <v>1</v>
      </c>
      <c r="M132" s="12">
        <f>VLOOKUP(TRIM(A132 &amp; ""), 'planilha crua'!$A$2:$B$10000, 2, FALSE)</f>
        <v>45775</v>
      </c>
      <c r="N132" s="1">
        <f t="shared" si="5"/>
        <v>4</v>
      </c>
    </row>
    <row r="133" spans="1:14" x14ac:dyDescent="0.35">
      <c r="A133" s="1" t="s">
        <v>444</v>
      </c>
      <c r="B133" s="1">
        <v>2</v>
      </c>
      <c r="C133" s="1" t="s">
        <v>25</v>
      </c>
      <c r="D133" s="1" t="s">
        <v>26</v>
      </c>
      <c r="E133" s="1">
        <v>5</v>
      </c>
      <c r="F133" s="1">
        <v>136</v>
      </c>
      <c r="G133" s="1" t="s">
        <v>38</v>
      </c>
      <c r="H133" s="1">
        <v>12</v>
      </c>
      <c r="I133" s="1">
        <v>0.47299999999999998</v>
      </c>
      <c r="J133" s="1">
        <v>1</v>
      </c>
      <c r="K133" s="1" t="s">
        <v>473</v>
      </c>
      <c r="L133" s="1">
        <f t="shared" si="4"/>
        <v>0</v>
      </c>
      <c r="M133" s="12">
        <f>VLOOKUP(TRIM(A133 &amp; ""), 'planilha crua'!$A$2:$B$10000, 2, FALSE)</f>
        <v>45775</v>
      </c>
      <c r="N133" s="1">
        <f t="shared" si="5"/>
        <v>4</v>
      </c>
    </row>
  </sheetData>
  <sortState xmlns:xlrd2="http://schemas.microsoft.com/office/spreadsheetml/2017/richdata2" ref="A2:K133">
    <sortCondition ref="F2:F13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 crua</vt:lpstr>
      <vt:lpstr>Sem os errados</vt:lpstr>
      <vt:lpstr>Contagem de indivíduos</vt:lpstr>
      <vt:lpstr>Planilha1</vt:lpstr>
      <vt:lpstr>H1 com todo mundo</vt:lpstr>
      <vt:lpstr>teiah12cq</vt:lpstr>
      <vt:lpstr>teiah22q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Matos Ribeiro</dc:creator>
  <cp:lastModifiedBy>Yuri Matos Ribeiro</cp:lastModifiedBy>
  <cp:lastPrinted>2025-08-27T17:57:58Z</cp:lastPrinted>
  <dcterms:created xsi:type="dcterms:W3CDTF">2025-08-19T20:43:43Z</dcterms:created>
  <dcterms:modified xsi:type="dcterms:W3CDTF">2026-05-29T13:45:03Z</dcterms:modified>
</cp:coreProperties>
</file>